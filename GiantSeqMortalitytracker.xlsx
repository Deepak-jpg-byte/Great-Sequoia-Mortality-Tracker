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f7b41083be149f2" /></Relationships>
</file>

<file path=xl/workbook.xml><?xml version="1.0" encoding="utf-8"?>
<x:workbook xmlns:x="http://schemas.openxmlformats.org/spreadsheetml/2006/main">
  <x:sheets>
    <x:sheet xmlns:r="http://schemas.openxmlformats.org/officeDocument/2006/relationships" name="Read Me" sheetId="1" r:id="Rd0eeb93f16e7492d"/>
    <x:sheet xmlns:r="http://schemas.openxmlformats.org/officeDocument/2006/relationships" name="Fire &amp; Severity Data" sheetId="2" r:id="Rd4bad5a7e76f487e"/>
    <x:sheet xmlns:r="http://schemas.openxmlformats.org/officeDocument/2006/relationships" name="Mortality Calculator" sheetId="3" r:id="R0ad9dfd713bb4126"/>
    <x:sheet xmlns:r="http://schemas.openxmlformats.org/officeDocument/2006/relationships" name="Dashboard" sheetId="4" r:id="R4e397d7d368f42e3"/>
    <x:sheet xmlns:r="http://schemas.openxmlformats.org/officeDocument/2006/relationships" name="Assumptions" sheetId="5" r:id="Rf4a87924b2574f2a"/>
    <x:sheet xmlns:r="http://schemas.openxmlformats.org/officeDocument/2006/relationships" name="Change Log" sheetId="6" r:id="Rf3c4dc7df39b4bd4"/>
  </x:sheets>
  <x:definedNames>
    <x:definedName name="FireNames">'Fire &amp; Severity Data'!$A$5:$A$7</x:definedName>
    <x:definedName name="LowAcresByFire">'Fire &amp; Severity Data'!$D$5:$D$7</x:definedName>
    <x:definedName name="ModAcresByFire">'Fire &amp; Severity Data'!$E$5:$E$7</x:definedName>
    <x:definedName name="HighAcresByFire">'Fire &amp; Severity Data'!$F$5:$F$7</x:definedName>
    <x:definedName name="OtherAcresByFire">'Fire &amp; Severity Data'!$G$5:$G$7</x:definedName>
    <x:definedName name="TotalAcresByFire">'Fire &amp; Severity Data'!$H$5:$H$7</x:definedName>
    <x:definedName name="GrovesAffectedCounts">'Fire &amp; Severity Data'!$I$5:$I$7</x:definedName>
    <x:definedName name="LowSevPctByFire">'Fire &amp; Severity Data'!$P$5:$P$7</x:definedName>
    <x:definedName name="ModSevPctByFire">'Fire &amp; Severity Data'!$Q$5:$Q$7</x:definedName>
    <x:definedName name="HighSevPctByFire">'Fire &amp; Severity Data'!$R$5:$R$7</x:definedName>
    <x:definedName name="OtherSevPctByFire">'Fire &amp; Severity Data'!$S$5:$S$7</x:definedName>
    <x:definedName name="LowAcres_Castle">'Fire &amp; Severity Data'!$D$5</x:definedName>
    <x:definedName name="ModAcres_Castle">'Fire &amp; Severity Data'!$E$5</x:definedName>
    <x:definedName name="HighAcres_Castle">'Fire &amp; Severity Data'!$F$5</x:definedName>
    <x:definedName name="OtherAcres_Castle">'Fire &amp; Severity Data'!$G$5</x:definedName>
    <x:definedName name="TotalAcres_Castle">'Fire &amp; Severity Data'!$H$5</x:definedName>
    <x:definedName name="SeverityPct_Castle">'Fire &amp; Severity Data'!$P$5:$S$5</x:definedName>
    <x:definedName name="ReportedLow_Castle">'Mortality Calculator'!$B$5</x:definedName>
    <x:definedName name="ReportedHigh_Castle">'Mortality Calculator'!$C$5</x:definedName>
    <x:definedName name="ReportedMidpoint_Castle">'Mortality Calculator'!$D$5</x:definedName>
    <x:definedName name="LowAcres_KNP">'Fire &amp; Severity Data'!$D$6</x:definedName>
    <x:definedName name="ModAcres_KNP">'Fire &amp; Severity Data'!$E$6</x:definedName>
    <x:definedName name="HighAcres_KNP">'Fire &amp; Severity Data'!$F$6</x:definedName>
    <x:definedName name="OtherAcres_KNP">'Fire &amp; Severity Data'!$G$6</x:definedName>
    <x:definedName name="TotalAcres_KNP">'Fire &amp; Severity Data'!$H$6</x:definedName>
    <x:definedName name="SeverityPct_KNP">'Fire &amp; Severity Data'!$P$6:$S$6</x:definedName>
    <x:definedName name="ReportedLow_KNP">'Mortality Calculator'!$B$6</x:definedName>
    <x:definedName name="ReportedHigh_KNP">'Mortality Calculator'!$C$6</x:definedName>
    <x:definedName name="ReportedMidpoint_KNP">'Mortality Calculator'!$D$6</x:definedName>
    <x:definedName name="LowAcres_Windy">'Fire &amp; Severity Data'!$D$7</x:definedName>
    <x:definedName name="ModAcres_Windy">'Fire &amp; Severity Data'!$E$7</x:definedName>
    <x:definedName name="HighAcres_Windy">'Fire &amp; Severity Data'!$F$7</x:definedName>
    <x:definedName name="OtherAcres_Windy">'Fire &amp; Severity Data'!$G$7</x:definedName>
    <x:definedName name="TotalAcres_Windy">'Fire &amp; Severity Data'!$H$7</x:definedName>
    <x:definedName name="SeverityPct_Windy">'Fire &amp; Severity Data'!$P$7:$S$7</x:definedName>
    <x:definedName name="ReportedLow_Windy">'Mortality Calculator'!$B$7</x:definedName>
    <x:definedName name="ReportedHigh_Windy">'Mortality Calculator'!$C$7</x:definedName>
    <x:definedName name="ReportedMidpoint_Windy">'Mortality Calculator'!$D$7</x:definedName>
    <x:definedName name="Acres_Castle">'Fire &amp; Severity Data'!$H$5</x:definedName>
    <x:definedName name="Acres_KNP">'Fire &amp; Severity Data'!$H$6</x:definedName>
    <x:definedName name="Acres_Windy">'Fire &amp; Severity Data'!$H$7</x:definedName>
    <x:definedName name="ReportedLowByFire">'Mortality Calculator'!$B$5:$B$7</x:definedName>
    <x:definedName name="ReportedHighByFire">'Mortality Calculator'!$C$5:$C$7</x:definedName>
    <x:definedName name="ReportedMidpointByFire">'Mortality Calculator'!$D$5:$D$7</x:definedName>
    <x:definedName name="Combined2021Low">'Mortality Calculator'!$B$8</x:definedName>
    <x:definedName name="Combined2021High">'Mortality Calculator'!$C$8</x:definedName>
    <x:definedName name="OverallLowPct">'Mortality Calculator'!$E$9</x:definedName>
    <x:definedName name="OverallHighPct">'Mortality Calculator'!$F$9</x:definedName>
    <x:definedName name="HighSevRate">'Assumptions'!$B$5</x:definedName>
    <x:definedName name="ModSevRate">'Assumptions'!$B$6</x:definedName>
    <x:definedName name="LowSevRate">'Assumptions'!$B$7</x:definedName>
    <x:definedName name="HighScenarioLowRate">'Assumptions'!$B$8</x:definedName>
    <x:definedName name="HighScenarioModRate">'Assumptions'!$B$9</x:definedName>
    <x:definedName name="HighScenarioHighRate">'Assumptions'!$B$10</x:definedName>
    <x:definedName name="SelectedFire">'Mortality Calculator'!$B$14</x:definedName>
    <x:definedName name="HighAcres">'Mortality Calculator'!$D$17</x:definedName>
    <x:definedName name="ModAcres">'Mortality Calculator'!$D$18</x:definedName>
    <x:definedName name="LowAcres">'Mortality Calculator'!$D$19</x:definedName>
    <x:definedName name="TotalAcres">'Mortality Calculator'!$D$21</x:definedName>
    <x:definedName name="EstimatedHighMortality">'Mortality Calculator'!$F$17</x:definedName>
    <x:definedName name="EstimatedModMortality">'Mortality Calculator'!$F$18</x:definedName>
    <x:definedName name="EstimatedLowMortality">'Mortality Calculator'!$F$19</x:definedName>
    <x:definedName name="BaseMortality">'Mortality Calculator'!$F$20</x:definedName>
    <x:definedName name="LowDensity">'Mortality Calculator'!$B$22</x:definedName>
    <x:definedName name="Density">'Mortality Calculator'!$C$22</x:definedName>
    <x:definedName name="HighDensity">'Mortality Calculator'!$D$22</x:definedName>
    <x:definedName name="LowMortality">'Mortality Calculator'!$B$26</x:definedName>
    <x:definedName name="HighMortality">'Mortality Calculator'!$D$26</x:definedName>
    <x:definedName name="LowSevRateAdj">'Mortality Calculator'!$B$27</x:definedName>
    <x:definedName name="AdjustedLowRate">'Mortality Calculator'!$B$28</x:definedName>
    <x:definedName name="AdjustedMortality">'Mortality Calculator'!$B$29</x:definedName>
    <x:definedName name="PctHighSeverity">'Mortality Calculator'!$B$32</x:definedName>
    <x:definedName name="TreesPerBurnedAcre">'Mortality Calculator'!$B$33</x:definedName>
    <x:definedName name="TreesPerHighAcre">'Mortality Calculator'!$B$34</x:definedName>
    <x:definedName name="SeverityWeighted_Castle">'Mortality Calculator'!$I$5</x:definedName>
    <x:definedName name="ImpliedDensity_Castle">'Mortality Calculator'!$K$5</x:definedName>
    <x:definedName name="LowDensity_Castle">'Mortality Calculator'!$M$5</x:definedName>
    <x:definedName name="HighDensity_Castle">'Mortality Calculator'!$N$5</x:definedName>
    <x:definedName name="SeverityWeighted_KNP">'Mortality Calculator'!$I$6</x:definedName>
    <x:definedName name="ImpliedDensity_KNP">'Mortality Calculator'!$K$6</x:definedName>
    <x:definedName name="LowDensity_KNP">'Mortality Calculator'!$M$6</x:definedName>
    <x:definedName name="HighDensity_KNP">'Mortality Calculator'!$N$6</x:definedName>
    <x:definedName name="SeverityWeighted_Windy">'Mortality Calculator'!$I$7</x:definedName>
    <x:definedName name="ImpliedDensity_Windy">'Mortality Calculator'!$K$7</x:definedName>
    <x:definedName name="LowDensity_Windy">'Mortality Calculator'!$M$7</x:definedName>
    <x:definedName name="HighDensity_Windy">'Mortality Calculator'!$N$7</x:definedName>
    <x:definedName name="ImpliedDensityByFire">'Mortality Calculator'!$K$5:$K$7</x:definedName>
    <x:definedName name="LowDensityByFire">'Mortality Calculator'!$M$5:$M$7</x:definedName>
    <x:definedName name="HighDensityByFire">'Mortality Calculator'!$N$5:$N$7</x:definedName>
    <x:definedName name="OverallReportedLow">'Mortality Calculator'!$B$9</x:definedName>
    <x:definedName name="OverallReportedHigh">'Mortality Calculator'!$C$9</x:definedName>
  </x:definedNames>
</x:workbook>
</file>

<file path=xl/comments1.xml><?xml version="1.0" encoding="utf-8"?>
<x:comments xmlns:x="http://schemas.openxmlformats.org/spreadsheetml/2006/main">
  <x:authors>
    <x:author>tc={B307E415-E234-4211-A1D8-202A767037BC}</x:author>
  </x:authors>
  <x:commentList>
    <x:comment ref="I5" authorId="0">
      <x:text>
        <x:r>
          <x:t>[Threaded comment]
Your version of Excel allows you to read this threaded comment; however, any edits to it will get removed if the file is opened in a newer version of Excel. Learn more: https://go.microsoft.com/fwlink/?linkid=870924
Comment:
    Groves affected was not reported in the sources reviewed. The blank is intentional and is not a zero.</x:t>
        </x:r>
      </x:text>
    </x:comment>
  </x:commentList>
</x:comments>
</file>

<file path=xl/comments2.xml><?xml version="1.0" encoding="utf-8"?>
<x:comments xmlns:x="http://schemas.openxmlformats.org/spreadsheetml/2006/main">
  <x:authors>
    <x:author>tc={13B772CD-1B35-408F-B5F2-5AF27D550B1F}</x:author>
    <x:author>tc={5CDA39C9-7B4D-444B-9C83-3B0BE64BD5F1}</x:author>
    <x:author>tc={52A4B2AD-2B9D-4752-B5C8-F665B738FC29}</x:author>
  </x:authors>
  <x:commentList>
    <x:comment ref="E5" authorId="0">
      <x:text>
        <x:r>
          <x:t>[Threaded comment]
Your version of Excel allows you to read this threaded comment; however, any edits to it will get removed if the file is opened in a newer version of Excel. Learn more: https://go.microsoft.com/fwlink/?linkid=870924
Comment:
    Original text preserved: 10% – 14%.</x:t>
        </x:r>
      </x:text>
    </x:comment>
    <x:comment ref="E8" authorId="1">
      <x:text>
        <x:r>
          <x:t>[Threaded comment]
Your version of Excel allows you to read this threaded comment; however, any edits to it will get removed if the file is opened in a newer version of Excel. Learn more: https://go.microsoft.com/fwlink/?linkid=870924
Comment:
    Original text preserved: 3% – 5%.</x:t>
        </x:r>
      </x:text>
    </x:comment>
    <x:comment ref="E9" authorId="2">
      <x:text>
        <x:r>
          <x:t>[Threaded comment]
Your version of Excel allows you to read this threaded comment; however, any edits to it will get removed if the file is opened in a newer version of Excel. Learn more: https://go.microsoft.com/fwlink/?linkid=870924
Comment:
    Original text preserved: 13% – 19% (directly reported by NPS).</x:t>
        </x:r>
      </x:text>
    </x:comment>
  </x:commentList>
</x:comments>
</file>

<file path=xl/sharedStrings.xml><?xml version="1.0" encoding="utf-8"?>
<x:sst xmlns:x="http://schemas.openxmlformats.org/spreadsheetml/2006/main">
  <x:si>
    <x:t xml:space="preserve">Giant Sequoia Post-Fire Mortality Tracker</x:t>
  </x:si>
  <x:si>
    <x:t xml:space="preserve">What this workbook does</x:t>
  </x:si>
  <x:si>
    <x:t xml:space="preserve">Tracks how many large giant sequoias (trunk diameter 4 feet or more) have been killed by wildfire in the southern Sierra Nevada since 2020, using numbers published by the National Park Service, the U.S. Forest Service, and USGS. It also includes a reusable calculator so you can estimate the impact of a future fire before an official survey comes out.</x:t>
  </x:si>
  <x:si>
    <x:t xml:space="preserve">How it's organized (tabs at the bottom of the screen)</x:t>
  </x:si>
  <x:si>
    <x:t xml:space="preserve">1. Read Me — this page.</x:t>
  </x:si>
  <x:si>
    <x:t xml:space="preserve">2. Fire &amp; Severity Data — acres burned, broken into low / moderate / high fire-severity classes, for each of the three fires.</x:t>
  </x:si>
  <x:si>
    <x:t xml:space="preserve">3. Mortality Calculator — Section A shows the officially published mortality estimates; Section B is a reusable formula tool for estimating mortality from a new fire.</x:t>
  </x:si>
  <x:si>
    <x:t xml:space="preserve">4. Dashboard — charts summarizing the numbers on the other tabs.</x:t>
  </x:si>
  <x:si>
    <x:t xml:space="preserve">Color legend</x:t>
  </x:si>
  <x:si>
    <x:t xml:space="preserve">Blue text = a real number taken directly from a published report. Don't change these unless you're updating the source.</x:t>
  </x:si>
  <x:si>
    <x:t xml:space="preserve">Yellow fill = a cell meant for you to edit — test your own assumptions here.</x:t>
  </x:si>
  <x:si>
    <x:t xml:space="preserve">Black text = a formula. It calculates itself from other cells — you don't need to type into these.</x:t>
  </x:si>
  <x:si>
    <x:t xml:space="preserve">Sources</x:t>
  </x:si>
  <x:si>
    <x:t xml:space="preserve">This is a starter workbook you can keep extending as new fires and new survey data come out — see the notes on the Fire &amp; Severity Data tab.</x:t>
  </x:si>
  <x:si>
    <x:t xml:space="preserve">Fire &amp; Severity Data</x:t>
  </x:si>
  <x:si>
    <x:t xml:space="preserve">Grove acreage burned, by fire-severity class. All acreage figures are from the sources on the Read Me tab.</x:t>
  </x:si>
</x:sst>
</file>

<file path=xl/styles.xml><?xml version="1.0" encoding="utf-8"?>
<x:styleSheet xmlns:x="http://schemas.openxmlformats.org/spreadsheetml/2006/main">
  <x:numFmts count="5">
    <x:numFmt numFmtId="164" formatCode="0.0%"/>
    <x:numFmt numFmtId="165" formatCode="0.0"/>
    <x:numFmt numFmtId="200" formatCode="#,##0.00"/>
    <x:numFmt numFmtId="201" formatCode="#,##0"/>
    <x:numFmt numFmtId="202" formatCode="0.00"/>
  </x:numFmts>
  <x:fonts count="20">
    <x:font>
      <x:sz val="11"/>
      <x:color theme="1"/>
      <x:name val="Calibri"/>
      <x:family val="2"/>
    </x:font>
    <x:font>
      <x:b/>
      <x:sz val="16"/>
      <x:color rgb="FF1F4E3D"/>
      <x:name val="Arial"/>
      <x:family val="2"/>
    </x:font>
    <x:font>
      <x:b/>
      <x:sz val="12"/>
      <x:color rgb="FF1F4E3D"/>
      <x:name val="Arial"/>
      <x:family val="2"/>
    </x:font>
    <x:font>
      <x:sz val="11"/>
      <x:color rgb="FF000000"/>
      <x:name val="Arial"/>
      <x:family val="2"/>
    </x:font>
    <x:font>
      <x:sz val="11"/>
      <x:color rgb="FF0000FF"/>
      <x:name val="Arial"/>
      <x:family val="2"/>
    </x:font>
    <x:font>
      <x:i/>
      <x:sz val="9"/>
      <x:color rgb="FF595959"/>
      <x:name val="Arial"/>
      <x:family val="2"/>
    </x:font>
    <x:font>
      <x:i/>
      <x:sz val="11"/>
      <x:color rgb="FF808080"/>
      <x:name val="Arial"/>
      <x:family val="2"/>
    </x:font>
    <x:font>
      <x:b/>
      <x:sz val="11"/>
      <x:color rgb="FFFFFFFF"/>
      <x:name val="Arial"/>
      <x:family val="2"/>
    </x:font>
    <x:font>
      <x:b/>
      <x:sz val="11"/>
      <x:color rgb="FF0000FF"/>
      <x:name val="Arial"/>
      <x:family val="2"/>
    </x:font>
    <x:font>
      <x:i/>
      <x:sz val="9"/>
      <x:color rgb="FF666666"/>
      <x:name val="Arial"/>
      <x:family val="2"/>
    </x:font>
    <x:font>
      <x:b/>
      <x:sz val="10"/>
      <x:color rgb="FFFFFFFF"/>
      <x:name val="Arial"/>
      <x:family val="2"/>
    </x:font>
    <x:font>
      <x:b/>
      <x:sz val="11"/>
      <x:color rgb="FF000000"/>
      <x:name val="Arial"/>
      <x:family val="2"/>
    </x:font>
    <x:font>
      <x:b/>
      <x:sz val="11"/>
      <x:color theme="1"/>
      <x:name val="Arial"/>
      <x:family val="2"/>
    </x:font>
    <x:font>
      <x:b/>
      <x:sz val="16"/>
      <x:color rgb="FF215A44"/>
      <x:name val="Arial"/>
      <x:family val="2"/>
    </x:font>
    <x:font>
      <x:i/>
      <x:sz val="10"/>
      <x:color rgb="FF777777"/>
      <x:name val="Arial"/>
      <x:family val="2"/>
    </x:font>
    <x:font>
      <x:sz val="11"/>
      <x:color theme="1"/>
      <x:name val="Arial"/>
      <x:family val="2"/>
    </x:font>
    <x:font>
      <x:b/>
      <x:sz val="12"/>
      <x:color rgb="FF215A44"/>
      <x:name val="Arial"/>
      <x:family val="2"/>
    </x:font>
    <x:font>
      <x:b/>
      <x:i/>
      <x:sz val="9"/>
      <x:color rgb="FF595959"/>
      <x:name val="Arial"/>
      <x:family val="2"/>
    </x:font>
    <x:font>
      <x:i/>
      <x:sz val="11"/>
      <x:color rgb="FF000000"/>
      <x:name val="Arial"/>
      <x:family val="2"/>
    </x:font>
    <x:font>
      <x:sz val="10"/>
      <x:color rgb="FF0563C1"/>
      <x:name val="Arial"/>
      <x:family val="2"/>
    </x:font>
  </x:fonts>
  <x:fills count="11">
    <x:fill>
      <x:patternFill patternType="none"/>
    </x:fill>
    <x:fill>
      <x:patternFill patternType="gray125"/>
    </x:fill>
    <x:fill>
      <x:patternFill patternType="solid">
        <x:fgColor rgb="FFFFFF00"/>
      </x:patternFill>
    </x:fill>
    <x:fill>
      <x:patternFill patternType="solid">
        <x:fgColor rgb="FF1F4E3D"/>
      </x:patternFill>
    </x:fill>
    <x:fill>
      <x:patternFill patternType="solid">
        <x:fgColor rgb="FFF2F2F2"/>
      </x:patternFill>
    </x:fill>
    <x:fill>
      <x:patternFill patternType="solid">
        <x:fgColor rgb="FFE2EFDA"/>
      </x:patternFill>
    </x:fill>
    <x:fill>
      <x:patternFill patternType="solid">
        <x:fgColor rgb="FF215A44"/>
      </x:patternFill>
    </x:fill>
    <x:fill>
      <x:patternFill patternType="solid">
        <x:fgColor rgb="FFF2F2F2"/>
      </x:patternFill>
    </x:fill>
    <x:fill>
      <x:patternFill patternType="solid">
        <x:fgColor rgb="FFFFF200"/>
      </x:patternFill>
    </x:fill>
    <x:fill>
      <x:patternFill patternType="solid">
        <x:fgColor rgb="FFE2EFDA"/>
      </x:patternFill>
    </x:fill>
    <x:fill>
      <x:patternFill patternType="solid">
        <x:fgColor rgb="FFFFFFFF"/>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190">
    <x:xf numFmtId="0" fontId="0" fillId="0" borderId="0" xfId="0"/>
    <x:xf numFmtId="0" fontId="2" fillId="5" borderId="1" xfId="0" applyFont="1" applyFill="1" applyBorder="1" applyAlignment="1">
      <x:alignment vertical="top" wrapText="1"/>
    </x:xf>
    <x:xf numFmtId="0" fontId="1" fillId="0" borderId="0" xfId="0" applyFont="1"/>
    <x:xf numFmtId="0" fontId="2" fillId="0" borderId="0" xfId="0" applyFont="1"/>
    <x:xf numFmtId="0" fontId="3" fillId="0" borderId="0" xfId="0" applyFont="1" applyAlignment="1">
      <x:alignment vertical="top" wrapText="1"/>
    </x:xf>
    <x:xf numFmtId="0" fontId="4" fillId="0" borderId="0" xfId="0" applyFont="1"/>
    <x:xf numFmtId="0" fontId="3" fillId="2" borderId="0" xfId="0" applyFont="1" applyFill="1"/>
    <x:xf numFmtId="0" fontId="3" fillId="0" borderId="0" xfId="0" applyFont="1"/>
    <x:xf numFmtId="0" fontId="5" fillId="0" borderId="0" xfId="0" applyFont="1" applyAlignment="1">
      <x:alignment vertical="top" wrapText="1"/>
    </x:xf>
    <x:xf numFmtId="0" fontId="6" fillId="0" borderId="0" xfId="0" applyFont="1" applyAlignment="1">
      <x:alignment vertical="top" wrapText="1"/>
    </x:xf>
    <x:xf numFmtId="0" fontId="7" fillId="3" borderId="1" xfId="0" applyFont="1" applyFill="1" applyBorder="1" applyAlignment="1">
      <x:alignment horizontal="center" vertical="center" wrapText="1"/>
    </x:xf>
    <x:xf numFmtId="0" fontId="8" fillId="0" borderId="1" xfId="0" applyFont="1" applyBorder="1"/>
    <x:xf numFmtId="0" fontId="4" fillId="0" borderId="1" xfId="0" applyFont="1" applyBorder="1" applyAlignment="1">
      <x:alignment horizontal="center" vertical="center" wrapText="1"/>
    </x:xf>
    <x:xf numFmtId="0" fontId="3" fillId="0" borderId="1" xfId="0" applyFont="1" applyBorder="1" applyAlignment="1">
      <x:alignment vertical="top" wrapText="1"/>
    </x:xf>
    <x:xf numFmtId="4" fontId="4" fillId="0" borderId="1" xfId="0" applyNumberFormat="1" applyFont="1" applyBorder="1"/>
    <x:xf numFmtId="4" fontId="3" fillId="0" borderId="1" xfId="0" applyNumberFormat="1" applyFont="1" applyBorder="1"/>
    <x:xf numFmtId="0" fontId="6" fillId="0" borderId="1" xfId="0" applyFont="1" applyBorder="1" applyAlignment="1">
      <x:alignment vertical="top" wrapText="1"/>
    </x:xf>
    <x:xf numFmtId="0" fontId="7" fillId="4" borderId="1" xfId="0" applyFont="1" applyFill="1" applyBorder="1"/>
    <x:xf numFmtId="0" fontId="3" fillId="4" borderId="1" xfId="0" applyFont="1" applyFill="1" applyBorder="1"/>
    <x:xf numFmtId="4" fontId="3" fillId="4" borderId="1" xfId="0" applyNumberFormat="1" applyFont="1" applyFill="1" applyBorder="1"/>
    <x:xf numFmtId="0" fontId="3" fillId="4" borderId="1" xfId="0" applyFont="1" applyFill="1" applyBorder="1" applyAlignment="1">
      <x:alignment horizontal="center" vertical="center" wrapText="1"/>
    </x:xf>
    <x:xf numFmtId="3" fontId="4" fillId="0" borderId="1" xfId="0" applyNumberFormat="1" applyFont="1" applyBorder="1"/>
    <x:xf numFmtId="3" fontId="3" fillId="0" borderId="1" xfId="0" applyNumberFormat="1" applyFont="1" applyBorder="1"/>
    <x:xf numFmtId="0" fontId="3" fillId="0" borderId="1" xfId="0" applyFont="1" applyBorder="1"/>
    <x:xf numFmtId="3" fontId="3" fillId="4" borderId="1" xfId="0" applyNumberFormat="1" applyFont="1" applyFill="1" applyBorder="1"/>
    <x:xf numFmtId="0" fontId="4" fillId="4" borderId="1" xfId="0" applyFont="1" applyFill="1" applyBorder="1" applyAlignment="1">
      <x:alignment horizontal="center" vertical="center" wrapText="1"/>
    </x:xf>
    <x:xf numFmtId="0" fontId="3" fillId="4" borderId="1" xfId="0" applyFont="1" applyFill="1" applyBorder="1" applyAlignment="1">
      <x:alignment vertical="top" wrapText="1"/>
    </x:xf>
    <x:xf numFmtId="164" fontId="4" fillId="0" borderId="1" xfId="0" applyNumberFormat="1" applyFont="1" applyBorder="1"/>
    <x:xf numFmtId="4" fontId="3" fillId="2" borderId="1" xfId="0" applyNumberFormat="1" applyFont="1" applyFill="1" applyBorder="1"/>
    <x:xf numFmtId="165" fontId="3" fillId="2" borderId="1" xfId="0" applyNumberFormat="1" applyFont="1" applyFill="1" applyBorder="1"/>
    <x:xf numFmtId="164" fontId="3" fillId="2" borderId="1" xfId="0" applyNumberFormat="1" applyFont="1" applyFill="1" applyBorder="1"/>
    <x:xf numFmtId="0" fontId="5" fillId="0" borderId="0" xfId="0" applyFont="1"/>
    <x:xf numFmtId="0" fontId="9" fillId="0" borderId="0" xfId="0" applyNumberFormat="1" applyFont="1" applyFill="1" applyBorder="1" applyAlignment="1">
      <x:alignment vertical="top" wrapText="1"/>
    </x:xf>
    <x:xf numFmtId="0" fontId="7" fillId="6" borderId="1" xfId="0" applyNumberFormat="1" applyFont="1" applyFill="1" applyBorder="1" applyAlignment="1">
      <x:alignment horizontal="center" vertical="center" wrapText="1"/>
    </x:xf>
    <x:xf numFmtId="0" fontId="0" fillId="6" borderId="0" xfId="0" applyNumberFormat="1" applyFont="1" applyFill="1" applyBorder="1"/>
    <x:xf numFmtId="0" fontId="10" fillId="6" borderId="1" xfId="0" applyNumberFormat="1" applyFont="1" applyFill="1" applyBorder="1" applyAlignment="1">
      <x:alignment horizontal="center" vertical="center" wrapText="1"/>
    </x:xf>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horizontal="center" wrapText="1"/>
    </x:xf>
    <x:xf numFmtId="0" fontId="10" fillId="6" borderId="0" xfId="0" applyNumberFormat="1" applyFont="1" applyFill="1" applyBorder="1" applyAlignment="1">
      <x:alignment horizontal="center" vertical="center" wrapText="1"/>
    </x:xf>
    <x:xf numFmtId="0" fontId="8" fillId="0" borderId="1" xfId="0" applyNumberFormat="1" applyFont="1" applyFill="1" applyBorder="1"/>
    <x:xf numFmtId="0" fontId="4"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4" fontId="4" fillId="0" borderId="1" xfId="0" applyNumberFormat="1" applyFont="1" applyFill="1" applyBorder="1"/>
    <x:xf numFmtId="4" fontId="3" fillId="0" borderId="1" xfId="0" applyNumberFormat="1" applyFont="1" applyFill="1" applyBorder="1"/>
    <x:xf numFmtId="0" fontId="6" fillId="0" borderId="1" xfId="0" applyNumberFormat="1" applyFont="1" applyFill="1" applyBorder="1" applyAlignment="1">
      <x:alignment vertical="top" wrapText="1"/>
    </x:xf>
    <x:xf numFmtId="0" fontId="0" fillId="0" borderId="1" xfId="0" applyNumberFormat="1" applyFont="1" applyFill="1" applyBorder="1"/>
    <x:xf numFmtId="0" fontId="7"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vertical="center" wrapText="1"/>
    </x:xf>
    <x:xf numFmtId="0" fontId="3" fillId="0" borderId="1" xfId="0" applyNumberFormat="1" applyFont="1" applyFill="1" applyBorder="1"/>
    <x:xf numFmtId="200" fontId="4" fillId="0" borderId="1" xfId="0" applyNumberFormat="1" applyFont="1" applyFill="1" applyBorder="1"/>
    <x:xf numFmtId="200" fontId="6" fillId="0" borderId="1" xfId="0" applyNumberFormat="1" applyFont="1" applyFill="1" applyBorder="1" applyAlignment="1">
      <x:alignment vertical="top" wrapText="1"/>
    </x:xf>
    <x:xf numFmtId="200" fontId="4" fillId="0" borderId="1" xfId="0" applyNumberFormat="1" applyFont="1" applyFill="1" applyBorder="1" applyAlignment="1">
      <x:alignment horizontal="center" vertical="center" wrapText="1"/>
    </x:xf>
    <x:xf numFmtId="200" fontId="3" fillId="4" borderId="1" xfId="0" applyNumberFormat="1" applyFont="1" applyFill="1" applyBorder="1"/>
    <x:xf numFmtId="200" fontId="3" fillId="4" borderId="1" xfId="0" applyNumberFormat="1" applyFont="1" applyFill="1" applyBorder="1" applyAlignment="1">
      <x:alignment horizontal="center" vertical="center" wrapText="1"/>
    </x:xf>
    <x:xf numFmtId="164" fontId="3" fillId="0" borderId="1" xfId="0" applyNumberFormat="1" applyFont="1" applyFill="1" applyBorder="1"/>
    <x:xf numFmtId="0" fontId="7" fillId="7" borderId="1" xfId="0" applyNumberFormat="1" applyFont="1" applyFill="1" applyBorder="1"/>
    <x:xf numFmtId="0" fontId="3" fillId="7" borderId="1" xfId="0" applyNumberFormat="1" applyFont="1" applyFill="1" applyBorder="1"/>
    <x:xf numFmtId="200" fontId="3" fillId="7" borderId="1" xfId="0" applyNumberFormat="1" applyFont="1" applyFill="1" applyBorder="1"/>
    <x:xf numFmtId="200" fontId="3" fillId="7" borderId="1" xfId="0" applyNumberFormat="1" applyFont="1" applyFill="1" applyBorder="1" applyAlignment="1">
      <x:alignment horizontal="center" vertical="center" wrapText="1"/>
    </x:xf>
    <x:xf numFmtId="0" fontId="0" fillId="7" borderId="1" xfId="0" applyNumberFormat="1" applyFont="1" applyFill="1" applyBorder="1"/>
    <x:xf numFmtId="0" fontId="11" fillId="7" borderId="1" xfId="0" applyNumberFormat="1" applyFont="1" applyFill="1" applyBorder="1"/>
    <x:xf numFmtId="200" fontId="11" fillId="7" borderId="1" xfId="0" applyNumberFormat="1" applyFont="1" applyFill="1" applyBorder="1"/>
    <x:xf numFmtId="200" fontId="11" fillId="7" borderId="1" xfId="0" applyNumberFormat="1" applyFont="1" applyFill="1" applyBorder="1" applyAlignment="1">
      <x:alignment horizontal="center" vertical="center" wrapText="1"/>
    </x:xf>
    <x:xf numFmtId="0" fontId="12" fillId="7" borderId="1" xfId="0" applyNumberFormat="1" applyFont="1" applyFill="1" applyBorder="1"/>
    <x:xf numFmtId="0" fontId="13" fillId="0" borderId="0" xfId="0" applyNumberFormat="1" applyFont="1" applyFill="1" applyBorder="1"/>
    <x:xf numFmtId="0" fontId="14" fillId="0" borderId="0" xfId="0" applyNumberFormat="1" applyFont="1" applyFill="1" applyBorder="1" applyAlignment="1">
      <x:alignment vertical="top" wrapText="1"/>
    </x:xf>
    <x:xf numFmtId="0" fontId="8" fillId="0" borderId="1" xfId="0" applyNumberFormat="1" applyFont="1" applyFill="1" applyBorder="1" applyAlignment="1">
      <x:alignment vertical="center"/>
    </x:xf>
    <x:xf numFmtId="0" fontId="7" fillId="7" borderId="1" xfId="0" applyNumberFormat="1" applyFont="1" applyFill="1" applyBorder="1" applyAlignment="1">
      <x:alignment vertical="center"/>
    </x:xf>
    <x:xf numFmtId="0" fontId="0"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15" fillId="0" borderId="1" xfId="0" applyNumberFormat="1" applyFont="1" applyFill="1" applyBorder="1"/>
    <x:xf numFmtId="0" fontId="15" fillId="0" borderId="0" xfId="0" applyNumberFormat="1" applyFont="1" applyFill="1" applyBorder="1" applyAlignment="1">
      <x:alignment vertical="center"/>
    </x:xf>
    <x:xf numFmtId="0" fontId="15" fillId="0" borderId="0" xfId="0" applyNumberFormat="1" applyFont="1" applyFill="1" applyBorder="1"/>
    <x:xf numFmtId="0" fontId="9" fillId="0" borderId="0" xfId="0" applyNumberFormat="1" applyFont="1" applyFill="1" applyBorder="1"/>
    <x:xf numFmtId="0" fontId="16" fillId="0" borderId="0" xfId="0" applyNumberFormat="1" applyFont="1" applyFill="1" applyBorder="1"/>
    <x:xf numFmtId="0" fontId="3" fillId="6" borderId="1" xfId="0" applyNumberFormat="1" applyFont="1" applyFill="1" applyBorder="1"/>
    <x:xf numFmtId="164" fontId="4" fillId="6" borderId="1" xfId="0" applyNumberFormat="1" applyFont="1" applyFill="1" applyBorder="1"/>
    <x:xf numFmtId="0" fontId="3" fillId="6" borderId="1" xfId="0" applyNumberFormat="1" applyFont="1" applyFill="1" applyBorder="1" applyAlignment="1">
      <x:alignment vertical="top" wrapText="1"/>
    </x:xf>
    <x:xf numFmtId="4" fontId="3" fillId="6" borderId="1" xfId="0" applyNumberFormat="1" applyFont="1" applyFill="1" applyBorder="1"/>
    <x:xf numFmtId="165" fontId="3" fillId="6" borderId="1" xfId="0" applyNumberFormat="1" applyFont="1" applyFill="1" applyBorder="1"/>
    <x:xf numFmtId="3" fontId="3" fillId="6" borderId="1" xfId="0" applyNumberFormat="1" applyFont="1" applyFill="1" applyBorder="1"/>
    <x:xf numFmtId="0" fontId="10" fillId="6" borderId="1" xfId="0" applyNumberFormat="1" applyFont="1" applyFill="1" applyBorder="1"/>
    <x:xf numFmtId="164" fontId="10" fillId="6" borderId="1" xfId="0" applyNumberFormat="1" applyFont="1" applyFill="1" applyBorder="1"/>
    <x:xf numFmtId="0" fontId="10" fillId="6" borderId="1" xfId="0" applyNumberFormat="1" applyFont="1" applyFill="1" applyBorder="1" applyAlignment="1">
      <x:alignment vertical="top" wrapText="1"/>
    </x:xf>
    <x:xf numFmtId="4" fontId="10" fillId="6" borderId="1" xfId="0" applyNumberFormat="1" applyFont="1" applyFill="1" applyBorder="1"/>
    <x:xf numFmtId="165" fontId="10" fillId="6" borderId="1" xfId="0" applyNumberFormat="1" applyFont="1" applyFill="1" applyBorder="1"/>
    <x:xf numFmtId="3" fontId="10" fillId="6" borderId="1" xfId="0" applyNumberFormat="1" applyFont="1" applyFill="1" applyBorder="1"/>
    <x:xf numFmtId="0" fontId="10" fillId="6" borderId="1" xfId="0" applyNumberFormat="1" applyFont="1" applyFill="1" applyBorder="1" applyAlignment="1">
      <x:alignment wrapText="1"/>
    </x:xf>
    <x:xf numFmtId="164" fontId="10" fillId="6" borderId="1" xfId="0" applyNumberFormat="1" applyFont="1" applyFill="1" applyBorder="1" applyAlignment="1">
      <x:alignment wrapText="1"/>
    </x:xf>
    <x:xf numFmtId="4" fontId="10" fillId="6" borderId="1" xfId="0" applyNumberFormat="1" applyFont="1" applyFill="1" applyBorder="1" applyAlignment="1">
      <x:alignment wrapText="1"/>
    </x:xf>
    <x:xf numFmtId="165" fontId="10" fillId="6" borderId="1" xfId="0" applyNumberFormat="1" applyFont="1" applyFill="1" applyBorder="1" applyAlignment="1">
      <x:alignment wrapText="1"/>
    </x:xf>
    <x:xf numFmtId="3" fontId="10" fillId="6" borderId="1" xfId="0" applyNumberFormat="1" applyFont="1" applyFill="1" applyBorder="1" applyAlignment="1">
      <x:alignment wrapText="1"/>
    </x:xf>
    <x:xf numFmtId="0" fontId="10" fillId="6" borderId="1" xfId="0" applyNumberFormat="1" applyFont="1" applyFill="1" applyBorder="1" applyAlignment="1">
      <x:alignment horizontal="center" wrapText="1"/>
    </x:xf>
    <x:xf numFmtId="164" fontId="10" fillId="6" borderId="1" xfId="0" applyNumberFormat="1" applyFont="1" applyFill="1" applyBorder="1" applyAlignment="1">
      <x:alignment horizontal="center" wrapText="1"/>
    </x:xf>
    <x:xf numFmtId="0" fontId="10" fillId="6" borderId="1" xfId="0" applyNumberFormat="1" applyFont="1" applyFill="1" applyBorder="1" applyAlignment="1">
      <x:alignment horizontal="center" vertical="top" wrapText="1"/>
    </x:xf>
    <x:xf numFmtId="4" fontId="10" fillId="6" borderId="1" xfId="0" applyNumberFormat="1" applyFont="1" applyFill="1" applyBorder="1" applyAlignment="1">
      <x:alignment horizontal="center" wrapText="1"/>
    </x:xf>
    <x:xf numFmtId="165" fontId="10" fillId="6" borderId="1" xfId="0" applyNumberFormat="1" applyFont="1" applyFill="1" applyBorder="1" applyAlignment="1">
      <x:alignment horizontal="center" wrapText="1"/>
    </x:xf>
    <x:xf numFmtId="3" fontId="10" fillId="6" borderId="1" xfId="0" applyNumberFormat="1" applyFont="1" applyFill="1" applyBorder="1" applyAlignment="1">
      <x:alignment horizontal="center" wrapText="1"/>
    </x:xf>
    <x:xf numFmtId="164" fontId="10" fillId="6" borderId="1" xfId="0" applyNumberFormat="1" applyFont="1" applyFill="1" applyBorder="1" applyAlignment="1">
      <x:alignment horizontal="center" vertical="center" wrapText="1"/>
    </x:xf>
    <x:xf numFmtId="4" fontId="10" fillId="6" borderId="1" xfId="0" applyNumberFormat="1" applyFont="1" applyFill="1" applyBorder="1" applyAlignment="1">
      <x:alignment horizontal="center" vertical="center" wrapText="1"/>
    </x:xf>
    <x:xf numFmtId="165" fontId="10" fillId="6" borderId="1" xfId="0" applyNumberFormat="1" applyFont="1" applyFill="1" applyBorder="1" applyAlignment="1">
      <x:alignment horizontal="center" vertical="center" wrapText="1"/>
    </x:xf>
    <x:xf numFmtId="3" fontId="10" fillId="6" borderId="1" xfId="0" applyNumberFormat="1" applyFont="1" applyFill="1" applyBorder="1" applyAlignment="1">
      <x:alignment horizontal="center" vertical="center" wrapText="1"/>
    </x:xf>
    <x:xf numFmtId="3" fontId="4" fillId="0" borderId="1" xfId="0" applyNumberFormat="1" applyFont="1" applyFill="1" applyBorder="1"/>
    <x:xf numFmtId="3" fontId="3" fillId="0" borderId="1" xfId="0" applyNumberFormat="1" applyFont="1" applyFill="1" applyBorder="1"/>
    <x:xf numFmtId="0" fontId="4" fillId="4" borderId="1" xfId="0" applyNumberFormat="1" applyFont="1" applyFill="1" applyBorder="1" applyAlignment="1">
      <x:alignment horizontal="center" vertical="center" wrapText="1"/>
    </x:xf>
    <x:xf numFmtId="0" fontId="3" fillId="4"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164" fontId="4" fillId="0" borderId="1" xfId="0" applyNumberFormat="1" applyFont="1" applyFill="1" applyBorder="1" applyAlignment="1">
      <x:alignment horizontal="center" vertical="center" wrapText="1"/>
    </x:xf>
    <x:xf numFmtId="164" fontId="3" fillId="0" borderId="1" xfId="0" applyNumberFormat="1" applyFont="1" applyFill="1" applyBorder="1" applyAlignment="1">
      <x:alignment vertical="top" wrapText="1"/>
    </x:xf>
    <x:xf numFmtId="164" fontId="6" fillId="0" borderId="1" xfId="0" applyNumberFormat="1" applyFont="1" applyFill="1" applyBorder="1" applyAlignment="1">
      <x:alignment vertical="top" wrapText="1"/>
    </x:xf>
    <x:xf numFmtId="164" fontId="4" fillId="4" borderId="1" xfId="0" applyNumberFormat="1" applyFont="1" applyFill="1" applyBorder="1" applyAlignment="1">
      <x:alignment horizontal="center" vertical="center" wrapText="1"/>
    </x:xf>
    <x:xf numFmtId="164" fontId="3" fillId="4" borderId="1" xfId="0" applyNumberFormat="1" applyFont="1" applyFill="1" applyBorder="1" applyAlignment="1">
      <x:alignment vertical="top" wrapText="1"/>
    </x:xf>
    <x:xf numFmtId="201" fontId="4" fillId="0" borderId="1" xfId="0" applyNumberFormat="1" applyFont="1" applyFill="1" applyBorder="1"/>
    <x:xf numFmtId="201" fontId="3" fillId="0" borderId="1" xfId="0" applyNumberFormat="1" applyFont="1" applyFill="1" applyBorder="1"/>
    <x:xf numFmtId="201" fontId="3" fillId="4" borderId="1" xfId="0" applyNumberFormat="1" applyFont="1" applyFill="1" applyBorder="1"/>
    <x:xf numFmtId="164" fontId="3" fillId="4" borderId="1" xfId="0" applyNumberFormat="1" applyFont="1" applyFill="1" applyBorder="1"/>
    <x:xf numFmtId="164" fontId="0" fillId="0" borderId="1" xfId="0" applyNumberFormat="1" applyFont="1" applyFill="1" applyBorder="1"/>
    <x:xf numFmtId="200" fontId="3" fillId="2" borderId="1" xfId="0" applyNumberFormat="1" applyFont="1" applyFill="1" applyBorder="1"/>
    <x:xf numFmtId="200" fontId="3" fillId="0" borderId="1" xfId="0" applyNumberFormat="1" applyFont="1" applyFill="1" applyBorder="1"/>
    <x:xf numFmtId="200" fontId="0" fillId="0" borderId="1" xfId="0" applyNumberFormat="1" applyFont="1" applyFill="1" applyBorder="1"/>
    <x:xf numFmtId="202" fontId="0" fillId="0" borderId="1" xfId="0" applyNumberFormat="1" applyFont="1" applyFill="1" applyBorder="1"/>
    <x:xf numFmtId="201" fontId="0" fillId="0" borderId="1" xfId="0" applyNumberFormat="1" applyFont="1" applyFill="1" applyBorder="1"/>
    <x:xf numFmtId="0" fontId="7" fillId="8" borderId="1" xfId="0" applyNumberFormat="1" applyFont="1" applyFill="1" applyBorder="1" applyAlignment="1">
      <x:alignment horizontal="center" vertical="center" wrapText="1"/>
    </x:xf>
    <x:xf numFmtId="164" fontId="0" fillId="8" borderId="1" xfId="0" applyNumberFormat="1" applyFont="1" applyFill="1" applyBorder="1"/>
    <x:xf numFmtId="164" fontId="12" fillId="8" borderId="1" xfId="0" applyNumberFormat="1" applyFont="1" applyFill="1" applyBorder="1"/>
    <x:xf numFmtId="0" fontId="5" fillId="7" borderId="1" xfId="0" applyNumberFormat="1" applyFont="1" applyFill="1" applyBorder="1" applyAlignment="1">
      <x:alignment vertical="top" wrapText="1"/>
    </x:xf>
    <x:xf numFmtId="200" fontId="0" fillId="7" borderId="1" xfId="0" applyNumberFormat="1" applyFont="1" applyFill="1" applyBorder="1"/>
    <x:xf numFmtId="0" fontId="17" fillId="7" borderId="1" xfId="0" applyNumberFormat="1" applyFont="1" applyFill="1" applyBorder="1" applyAlignment="1">
      <x:alignment vertical="top" wrapText="1"/>
    </x:xf>
    <x:xf numFmtId="200" fontId="12" fillId="7" borderId="1" xfId="0" applyNumberFormat="1" applyFont="1" applyFill="1" applyBorder="1"/>
    <x:xf numFmtId="0" fontId="0" fillId="9" borderId="1" xfId="0" applyNumberFormat="1" applyFont="1" applyFill="1" applyBorder="1"/>
    <x:xf numFmtId="164" fontId="0" fillId="9" borderId="1" xfId="0" applyNumberFormat="1" applyFont="1" applyFill="1" applyBorder="1"/>
    <x:xf numFmtId="202" fontId="0" fillId="9" borderId="1" xfId="0" applyNumberFormat="1" applyFont="1" applyFill="1" applyBorder="1"/>
    <x:xf numFmtId="0" fontId="12" fillId="9" borderId="1" xfId="0" applyNumberFormat="1" applyFont="1" applyFill="1" applyBorder="1"/>
    <x:xf numFmtId="164" fontId="12" fillId="9" borderId="1" xfId="0" applyNumberFormat="1" applyFont="1" applyFill="1" applyBorder="1"/>
    <x:xf numFmtId="202" fontId="12" fillId="9" borderId="1" xfId="0" applyNumberFormat="1" applyFont="1" applyFill="1" applyBorder="1"/>
    <x:xf numFmtId="200" fontId="15" fillId="0" borderId="1" xfId="0" applyNumberFormat="1" applyFont="1" applyFill="1" applyBorder="1"/>
    <x:xf numFmtId="202" fontId="15" fillId="0" borderId="1" xfId="0" applyNumberFormat="1" applyFont="1" applyFill="1" applyBorder="1"/>
    <x:xf numFmtId="0" fontId="7" fillId="3" borderId="1" xfId="0" applyNumberFormat="1" applyFont="1" applyFill="1" applyBorder="1" applyAlignment="1">
      <x:alignment horizontal="center" vertical="center" wrapText="1"/>
    </x:xf>
    <x:xf numFmtId="164" fontId="4" fillId="0" borderId="1" xfId="0" applyNumberFormat="1" applyFont="1" applyFill="1" applyBorder="1"/>
    <x:xf numFmtId="164" fontId="15" fillId="0" borderId="1" xfId="0" applyNumberFormat="1" applyFont="1" applyFill="1" applyBorder="1"/>
    <x:xf numFmtId="201" fontId="15" fillId="0" borderId="1" xfId="0" applyNumberFormat="1" applyFont="1" applyFill="1" applyBorder="1"/>
    <x:xf numFmtId="0" fontId="3" fillId="0" borderId="1" xfId="0" applyNumberFormat="1" applyFont="1" applyFill="1" applyBorder="1" applyAlignment="1">
      <x:alignment wrapText="1"/>
    </x:xf>
    <x:xf numFmtId="164" fontId="3" fillId="2" borderId="1" xfId="0" applyNumberFormat="1" applyFont="1" applyFill="1" applyBorder="1" applyAlignment="1">
      <x:alignment wrapText="1"/>
    </x:xf>
    <x:xf numFmtId="0" fontId="7" fillId="4" borderId="1" xfId="0" applyNumberFormat="1" applyFont="1" applyFill="1" applyBorder="1" applyAlignment="1">
      <x:alignment wrapText="1"/>
    </x:xf>
    <x:xf numFmtId="164" fontId="3"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15" fillId="0" borderId="1" xfId="0" applyNumberFormat="1" applyFont="1" applyFill="1" applyBorder="1" applyAlignment="1">
      <x:alignment wrapText="1"/>
    </x:xf>
    <x:xf numFmtId="164" fontId="15" fillId="0" borderId="1" xfId="0" applyNumberFormat="1" applyFont="1" applyFill="1" applyBorder="1" applyAlignment="1">
      <x:alignment wrapText="1"/>
    </x:xf>
    <x:xf numFmtId="0" fontId="18" fillId="0" borderId="1" xfId="0" applyNumberFormat="1" applyFont="1" applyFill="1" applyBorder="1" applyAlignment="1">
      <x:alignment vertical="top" wrapText="1"/>
    </x:xf>
    <x:xf numFmtId="0" fontId="11" fillId="4" borderId="1" xfId="0" applyNumberFormat="1" applyFont="1" applyFill="1" applyBorder="1" applyAlignment="1">
      <x:alignment wrapText="1"/>
    </x:xf>
    <x:xf numFmtId="164" fontId="3" fillId="0" borderId="1" xfId="0" applyNumberFormat="1" applyFont="1" applyFill="1" applyBorder="1" applyAlignment="1">
      <x:alignment wrapText="1"/>
    </x:xf>
    <x:xf numFmtId="0" fontId="7" fillId="7" borderId="1" xfId="0" applyNumberFormat="1" applyFont="1" applyFill="1" applyBorder="1" applyAlignment="1">
      <x:alignment horizontal="center" vertical="center" wrapText="1"/>
    </x:xf>
    <x:xf numFmtId="0" fontId="11" fillId="7" borderId="1" xfId="0" applyNumberFormat="1" applyFont="1" applyFill="1" applyBorder="1" applyAlignment="1">
      <x:alignment horizontal="center" vertical="center" wrapText="1"/>
    </x:xf>
    <x:xf numFmtId="0" fontId="7" fillId="10" borderId="1" xfId="0" applyNumberFormat="1" applyFont="1" applyFill="1" applyBorder="1" applyAlignment="1">
      <x:alignment horizontal="center" vertical="center" wrapText="1"/>
    </x:xf>
    <x:xf numFmtId="0" fontId="3" fillId="10" borderId="1" xfId="0" applyNumberFormat="1" applyFont="1" applyFill="1" applyBorder="1"/>
    <x:xf numFmtId="164" fontId="4" fillId="10" borderId="1" xfId="0" applyNumberFormat="1" applyFont="1" applyFill="1" applyBorder="1"/>
    <x:xf numFmtId="0" fontId="3" fillId="10" borderId="1" xfId="0" applyNumberFormat="1" applyFont="1" applyFill="1" applyBorder="1" applyAlignment="1">
      <x:alignment vertical="top" wrapText="1"/>
    </x:xf>
    <x:xf numFmtId="4" fontId="3" fillId="10" borderId="1" xfId="0" applyNumberFormat="1" applyFont="1" applyFill="1" applyBorder="1"/>
    <x:xf numFmtId="165" fontId="3" fillId="10" borderId="1" xfId="0" applyNumberFormat="1" applyFont="1" applyFill="1" applyBorder="1"/>
    <x:xf numFmtId="3" fontId="3" fillId="10" borderId="1" xfId="0" applyNumberFormat="1" applyFont="1" applyFill="1" applyBorder="1"/>
    <x:xf numFmtId="164" fontId="3" fillId="10" borderId="1" xfId="0" applyNumberFormat="1" applyFont="1" applyFill="1" applyBorder="1" applyAlignment="1">
      <x:alignment wrapText="1"/>
    </x:xf>
    <x:xf numFmtId="200" fontId="3" fillId="10" borderId="1" xfId="0" applyNumberFormat="1" applyFont="1" applyFill="1" applyBorder="1"/>
    <x:xf numFmtId="0" fontId="14" fillId="0" borderId="0" xfId="0" applyNumberFormat="1" applyFont="1" applyFill="1" applyBorder="1"/>
    <x:xf numFmtId="0" fontId="0" fillId="8" borderId="1" xfId="0" applyNumberFormat="1" applyFont="1" applyFill="1" applyBorder="1"/>
    <x:xf numFmtId="0" fontId="12" fillId="8" borderId="1" xfId="0" applyNumberFormat="1" applyFont="1" applyFill="1" applyBorder="1"/>
    <x:xf numFmtId="164" fontId="12" fillId="8" borderId="1" xfId="0" applyNumberFormat="1" applyFont="1" applyFill="1" applyBorder="1" applyAlignment="1">
      <x:alignment wrapText="1"/>
    </x:xf>
    <x:xf numFmtId="202" fontId="15" fillId="0" borderId="1" xfId="0" applyNumberFormat="1" applyFont="1" applyFill="1" applyBorder="1" applyAlignment="1">
      <x:alignment wrapText="1"/>
    </x:xf>
    <x:xf numFmtId="0" fontId="19" fillId="0"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16" fillId="9" borderId="1" xfId="0" applyNumberFormat="1" applyFont="1" applyFill="1" applyBorder="1" applyAlignment="1">
      <x:alignment vertical="top" wrapText="1"/>
    </x:xf>
    <x:xf numFmtId="0" fontId="16" fillId="9" borderId="1" xfId="0" applyNumberFormat="1" applyFont="1" applyFill="1" applyBorder="1" applyAlignment="1">
      <x:alignment vertical="center" wrapText="1"/>
    </x:xf>
    <x:xf numFmtId="0" fontId="5" fillId="7" borderId="0" xfId="0" applyNumberFormat="1" applyFont="1" applyFill="1" applyBorder="1"/>
    <x:xf numFmtId="0" fontId="0" fillId="7" borderId="0" xfId="0" applyNumberFormat="1" applyFont="1" applyFill="1" applyBorder="1"/>
    <x:xf numFmtId="0" fontId="17" fillId="7" borderId="0" xfId="0" applyNumberFormat="1" applyFont="1" applyFill="1" applyBorder="1"/>
    <x:xf numFmtId="0" fontId="12" fillId="7" borderId="0" xfId="0" applyNumberFormat="1" applyFont="1" applyFill="1" applyBorder="1"/>
    <x:xf numFmtId="0" fontId="17" fillId="7" borderId="1" xfId="0" applyNumberFormat="1" applyFont="1" applyFill="1" applyBorder="1"/>
    <x:xf numFmtId="201" fontId="12" fillId="9" borderId="1" xfId="0" applyNumberFormat="1" applyFont="1" applyFill="1" applyBorder="1"/>
    <x:xf numFmtId="0" fontId="0" fillId="9" borderId="0" xfId="0" applyNumberFormat="1" applyFont="1" applyFill="1" applyBorder="1"/>
    <x:xf numFmtId="0" fontId="12" fillId="9" borderId="0" xfId="0" applyNumberFormat="1" applyFont="1" applyFill="1" applyBorder="1"/>
    <x:xf numFmtId="0" fontId="2" fillId="6" borderId="0" xfId="0" applyNumberFormat="1" applyFont="1" applyFill="1" applyBorder="1"/>
    <x:xf numFmtId="201" fontId="7" fillId="3" borderId="1" xfId="0" applyNumberFormat="1" applyFont="1" applyFill="1" applyBorder="1" applyAlignment="1">
      <x:alignment horizontal="center" vertical="center" wrapText="1"/>
    </x:xf>
    <x:xf numFmtId="0" fontId="9" fillId="0" borderId="0" xfId="0" applyNumberFormat="1" applyFont="1" applyFill="1" applyBorder="1" applyAlignment="1">
      <x:alignment wrapText="1"/>
    </x:xf>
    <x:xf numFmtId="201" fontId="7" fillId="10" borderId="1" xfId="0" applyNumberFormat="1" applyFont="1" applyFill="1" applyBorder="1" applyAlignment="1">
      <x:alignment horizontal="center" vertical="center" wrapText="1"/>
    </x:xf>
    <x:xf numFmtId="201" fontId="0" fillId="10" borderId="1" xfId="0" applyNumberFormat="1" applyFont="1" applyFill="1" applyBorder="1"/>
    <x:xf numFmtId="201" fontId="3" fillId="10" borderId="1" xfId="0" applyNumberFormat="1" applyFont="1" applyFill="1" applyBorder="1"/>
    <x:xf numFmtId="0" fontId="11" fillId="10" borderId="1" xfId="0" applyNumberFormat="1" applyFont="1" applyFill="1" applyBorder="1" applyAlignment="1">
      <x:alignment horizontal="center" vertical="center" wrapText="1"/>
    </x:xf>
    <x:xf numFmtId="201" fontId="11" fillId="10" borderId="1" xfId="0" applyNumberFormat="1" applyFont="1" applyFill="1" applyBorder="1" applyAlignment="1">
      <x:alignment horizontal="center" vertical="center" wrapText="1"/>
    </x:xf>
    <x:xf numFmtId="0" fontId="2" fillId="5" borderId="1" xfId="0" applyNumberFormat="1" applyFont="1" applyFill="1" applyBorder="1" applyAlignment="1">
      <x:alignment vertical="top" wrapText="1"/>
    </x:xf>
  </x:cellXfs>
  <x:cellStyles count="1">
    <x:cellStyle name="Normal" xfId="0"/>
  </x:cellStyles>
  <x:dxfs count="2">
    <x:dxf>
      <x:font>
        <x:b/>
        <x:color rgb="FF9C0006"/>
      </x:font>
      <x:fill>
        <x:patternFill>
          <x:bgColor rgb="FFF4CCCC"/>
        </x:patternFill>
      </x:fill>
    </x:dxf>
    <x:dxf>
      <x:font>
        <x:b/>
        <x:color rgb="FF9C0006"/>
      </x:font>
      <x:fill>
        <x:patternFill>
          <x:bgColor rgb="FFF4CCC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C0504D"/>
      <x:rgbColor rgb="FFF2F2F2"/>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FCC99"/>
      <x:rgbColor rgb="FF4F81BD"/>
      <x:rgbColor rgb="FF33CCCC"/>
      <x:rgbColor rgb="FF9BBB59"/>
      <x:rgbColor rgb="FFFFCC00"/>
      <x:rgbColor rgb="FFFF9900"/>
      <x:rgbColor rgb="FFFF6600"/>
      <x:rgbColor rgb="FF595959"/>
      <x:rgbColor rgb="FF878787"/>
      <x:rgbColor rgb="FF003366"/>
      <x:rgbColor rgb="FF339966"/>
      <x:rgbColor rgb="FF003300"/>
      <x:rgbColor rgb="FF333300"/>
      <x:rgbColor rgb="FF993300"/>
      <x:rgbColor rgb="FF993366"/>
      <x:rgbColor rgb="FF333399"/>
      <x:rgbColor rgb="FF1F4E3D"/>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d4ef04d7f064b20" /><Relationship Type="http://schemas.openxmlformats.org/officeDocument/2006/relationships/theme" Target="/xl/theme/theme1.xml" Id="R0579ef1868084440" /><Relationship Type="http://schemas.openxmlformats.org/officeDocument/2006/relationships/sharedStrings" Target="/xl/sharedStrings.xml" Id="Rcbb695cba4394bcc" /><Relationship Type="http://schemas.openxmlformats.org/officeDocument/2006/relationships/worksheet" Target="/xl/worksheets/sheet1.xml" Id="Rd0eeb93f16e7492d" /><Relationship Type="http://schemas.openxmlformats.org/officeDocument/2006/relationships/worksheet" Target="/xl/worksheets/sheet2.xml" Id="Rd4bad5a7e76f487e" /><Relationship Type="http://schemas.openxmlformats.org/officeDocument/2006/relationships/worksheet" Target="/xl/worksheets/sheet3.xml" Id="R0ad9dfd713bb4126" /><Relationship Type="http://schemas.openxmlformats.org/officeDocument/2006/relationships/worksheet" Target="/xl/worksheets/sheet4.xml" Id="R4e397d7d368f42e3" /><Relationship Type="http://schemas.openxmlformats.org/officeDocument/2006/relationships/worksheet" Target="/xl/worksheets/sheet5.xml" Id="Rf4a87924b2574f2a" /><Relationship Type="http://schemas.openxmlformats.org/officeDocument/2006/relationships/worksheet" Target="/xl/worksheets/sheet6.xml" Id="Rf3c4dc7df39b4bd4" /><Relationship Type="http://schemas.microsoft.com/office/2017/10/relationships/person" Target="/xl/persons/person.xml" Id="Ra5cecadb49fd44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cd486a320b4f4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Mortality scenarios by fire</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Low</c:v>
          </c:tx>
          <c:spPr>
            <a:solidFill xmlns:a="http://schemas.openxmlformats.org/drawingml/2006/main">
              <a:srgbClr val="8DB4E2"/>
            </a:solidFill>
          </c:spPr>
          <c:invertIfNegative val="0"/>
          <c:cat>
            <c:strRef>
              <c:f>'Dashboard'!$A$10:$A$12</c:f>
              <c:strCache>
                <c:ptCount val="0"/>
              </c:strCache>
            </c:strRef>
          </c:cat>
          <c:val>
            <c:numRef>
              <c:f>'Dashboard'!$B$10:$B$12</c:f>
              <c:numCache>
                <c:formatCode>#,##0</c:formatCode>
                <c:ptCount val="0"/>
              </c:numCache>
            </c:numRef>
          </c:val>
        </c:ser>
        <c:ser>
          <c:idx val="1"/>
          <c:order val="1"/>
          <c:tx>
            <c:v>Base</c:v>
          </c:tx>
          <c:spPr>
            <a:solidFill xmlns:a="http://schemas.openxmlformats.org/drawingml/2006/main">
              <a:srgbClr val="215A44"/>
            </a:solidFill>
          </c:spPr>
          <c:invertIfNegative val="0"/>
          <c:cat>
            <c:strRef>
              <c:f>'Dashboard'!$A$10:$A$12</c:f>
              <c:strCache>
                <c:ptCount val="0"/>
              </c:strCache>
            </c:strRef>
          </c:cat>
          <c:val>
            <c:numRef>
              <c:f>'Dashboard'!$C$10:$C$12</c:f>
              <c:numCache>
                <c:formatCode>#,##0</c:formatCode>
                <c:ptCount val="0"/>
              </c:numCache>
            </c:numRef>
          </c:val>
        </c:ser>
        <c:ser>
          <c:idx val="2"/>
          <c:order val="2"/>
          <c:tx>
            <c:v>High</c:v>
          </c:tx>
          <c:spPr>
            <a:solidFill xmlns:a="http://schemas.openxmlformats.org/drawingml/2006/main">
              <a:srgbClr val="A5C46A"/>
            </a:solidFill>
          </c:spPr>
          <c:invertIfNegative val="0"/>
          <c:cat>
            <c:strRef>
              <c:f>'Dashboard'!$A$10:$A$12</c:f>
              <c:strCache>
                <c:ptCount val="0"/>
              </c:strCache>
            </c:strRef>
          </c:cat>
          <c:val>
            <c:numRef>
              <c:f>'Dashboard'!$D$10:$D$12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8</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cd486a320b4f46"/>
        </a:graphicData>
      </a:graphic>
    </xdr:graphicFrame>
    <xdr:clientData/>
  </xdr:twoCellAnchor>
</xdr:wsDr>
</file>

<file path=xl/persons/person.xml><?xml version="1.0" encoding="utf-8"?>
<xltc:personList xmlns:xltc="http://schemas.microsoft.com/office/spreadsheetml/2018/threadedcomments">
  <xltc:person displayName="Deepak Raj" id="{D92C4201-17F3-48B1-AAC7-1F6CAC1A9145}"/>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threadedcomments/threadedcomment.xml><?xml version="1.0" encoding="utf-8"?>
<xltc:ThreadedComments xmlns:xltc="http://schemas.microsoft.com/office/spreadsheetml/2018/threadedcomments">
  <xltc:threadedComment ref="I5" dT="2026-10-17T23:38:12.761" personId="{D92C4201-17F3-48B1-AAC7-1F6CAC1A9145}" id="{B307E415-E234-4211-A1D8-202A767037BC}">
    <xltc:text>Groves affected was not reported in the sources reviewed. The blank is intentional and is not a zero.</xltc:text>
  </xltc:threadedComment>
</xltc:ThreadedComments>
</file>

<file path=xl/threadedcomments/threadedcomment2.xml><?xml version="1.0" encoding="utf-8"?>
<xltc:ThreadedComments xmlns:xltc="http://schemas.microsoft.com/office/spreadsheetml/2018/threadedcomments">
  <xltc:threadedComment ref="E5" dT="2026-10-17T23:38:12.76" personId="{D92C4201-17F3-48B1-AAC7-1F6CAC1A9145}" id="{13B772CD-1B35-408F-B5F2-5AF27D550B1F}">
    <xltc:text>Original text preserved: 10% – 14%.</xltc:text>
  </xltc:threadedComment>
  <xltc:threadedComment ref="E8" dT="2026-10-17T23:38:12.76" personId="{D92C4201-17F3-48B1-AAC7-1F6CAC1A9145}" id="{5CDA39C9-7B4D-444B-9C83-3B0BE64BD5F1}">
    <xltc:text>Original text preserved: 3% – 5%.</xltc:text>
  </xltc:threadedComment>
  <xltc:threadedComment ref="E9" dT="2026-10-17T23:38:12.761" personId="{D92C4201-17F3-48B1-AAC7-1F6CAC1A9145}" id="{52A4B2AD-2B9D-4752-B5C8-F665B738FC29}">
    <xltc:text>Original text preserved: 13% – 19% (directly reported by NPS).</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1eb267f39d374c98" /><Relationship Type="http://schemas.openxmlformats.org/officeDocument/2006/relationships/vmlDrawing" Target="/xl/drawings/vmldrawing.vml" Id="R54c3dfb40a4a458b" /><Relationship Type="http://schemas.microsoft.com/office/2017/10/relationships/threadedComment" Target="/xl/threadedcomments/threadedcomment.xml" Id="R71330c64822a4c63" /></Relationships>
</file>

<file path=xl/worksheets/_rels/sheet3.xml.rels>&#65279;<?xml version="1.0" encoding="utf-8"?><Relationships xmlns="http://schemas.openxmlformats.org/package/2006/relationships"><Relationship Type="http://schemas.openxmlformats.org/officeDocument/2006/relationships/comments" Target="/xl/comments2.xml" Id="R94a7d20b72da44f4" /><Relationship Type="http://schemas.openxmlformats.org/officeDocument/2006/relationships/vmlDrawing" Target="/xl/drawings/vmldrawing2.vml" Id="R2696bcdf219e405e" /><Relationship Type="http://schemas.microsoft.com/office/2017/10/relationships/threadedComment" Target="/xl/threadedcomments/threadedcomment2.xml" Id="Rdfe74f33628840f0" /></Relationships>
</file>

<file path=xl/worksheets/_rels/sheet4.xml.rels>&#65279;<?xml version="1.0" encoding="utf-8"?><Relationships xmlns="http://schemas.openxmlformats.org/package/2006/relationships"><Relationship Type="http://schemas.openxmlformats.org/officeDocument/2006/relationships/drawing" Target="/xl/drawings/drawing1.xml" Id="R0e380dc885a94ff1" /></Relationships>
</file>

<file path=xl/worksheets/sheet1.xml><?xml version="1.0" encoding="utf-8"?>
<x:worksheet xmlns:x="http://schemas.openxmlformats.org/spreadsheetml/2006/main">
  <x:sheetViews>
    <x:sheetView showGridLines="0" workbookViewId="0"/>
  </x:sheetViews>
  <x:sheetFormatPr baseColWidth="10" defaultColWidth="8.6640625" defaultRowHeight="15"/>
  <x:cols>
    <x:col min="1" max="1" width="100" customWidth="1"/>
  </x:cols>
  <x:sheetData>
    <x:row r="1" ht="20">
      <x:c r="A1" s="2" t="s">
        <x:v>0</x:v>
      </x:c>
    </x:row>
    <x:row r="3" ht="16">
      <x:c r="A3" s="3" t="s">
        <x:v>1</x:v>
      </x:c>
    </x:row>
    <x:row r="4" ht="48" customHeight="1">
      <x:c r="A4" s="4" t="s">
        <x:v>2</x:v>
      </x:c>
    </x:row>
    <x:row r="6" ht="16">
      <x:c r="A6" s="3" t="s">
        <x:v>3</x:v>
      </x:c>
    </x:row>
    <x:row r="7">
      <x:c r="A7" s="4" t="s">
        <x:v>4</x:v>
      </x:c>
    </x:row>
    <x:row r="8" ht="30">
      <x:c r="A8" s="4" t="s">
        <x:v>5</x:v>
      </x:c>
    </x:row>
    <x:row r="9" ht="30">
      <x:c r="A9" s="4" t="s">
        <x:v>6</x:v>
      </x:c>
    </x:row>
    <x:row r="10">
      <x:c r="A10" s="4" t="s">
        <x:v>7</x:v>
      </x:c>
    </x:row>
    <x:row r="12" ht="16">
      <x:c r="A12" s="3" t="s">
        <x:v>8</x:v>
      </x:c>
    </x:row>
    <x:row r="13">
      <x:c r="A13" s="5" t="s">
        <x:v>9</x:v>
      </x:c>
    </x:row>
    <x:row r="14">
      <x:c r="A14" s="6" t="s">
        <x:v>10</x:v>
      </x:c>
    </x:row>
    <x:row r="15">
      <x:c r="A15" s="7" t="s">
        <x:v>11</x:v>
      </x:c>
    </x:row>
    <x:row r="17" ht="16">
      <x:c r="A17" s="3" t="s">
        <x:v>12</x:v>
      </x:c>
    </x:row>
    <x:row r="18" ht="38" customHeight="1">
      <x:c r="A18" s="169" t="e">
        <x:f>HYPERLINK("https://www.nps.gov/articles/000/preliminary-estimates-of-sequoia-mortality-in-the-2020-castle-fire.htm","Stephenson, N.L. and Brigham, C. (2021). Preliminary estimates of sequoia mortality in the 2020 Castle Fire.")</x:f>
        <x:v>HYPERLINK is not implemented. linkLocation=https://www.nps.gov/articles/000/preliminary-estimates-of-sequoia-mortality-in-the-2020-castle-fire.htm, friendlyName=Stephenson, N.L. and Brigham, C. (2021). Preliminary estimates of sequoia mortality in the 2020 Castle Fire.</x:v>
      </x:c>
    </x:row>
    <x:row r="19" ht="38" customHeight="1">
      <x:c r="A19" s="169" t="e">
        <x:f>HYPERLINK("https://www.nps.gov/articles/000/2021-fire-season-impacts-to-giant-sequoias-executive-summary.htm","National Park Service (2021). 2021 Fire Season Impacts to Giant Sequoias — Executive Summary.")</x:f>
        <x:v>HYPERLINK is not implemented. linkLocation=https://www.nps.gov/articles/000/2021-fire-season-impacts-to-giant-sequoias-executive-summary.htm, friendlyName=National Park Service (2021). 2021 Fire Season Impacts to Giant Sequoias — Executive Summary.</x:v>
      </x:c>
    </x:row>
    <x:row r="20" ht="38" customHeight="1">
      <x:c r="A20" s="169" t="e">
        <x:f>HYPERLINK("https://www.nps.gov/seki/learn/news/giant-sequoia-mortality-estimates-released-for-the-2021-knp-complex-and-windy-fire.htm","National Park Service, Nov. 19, 2021 press release: Giant Sequoia Mortality Estimates Released.")</x:f>
        <x:v>HYPERLINK is not implemented. linkLocation=https://www.nps.gov/seki/learn/news/giant-sequoia-mortality-estimates-released-for-the-2021-knp-complex-and-windy-fire.htm, friendlyName=National Park Service, Nov. 19, 2021 press release: Giant Sequoia Mortality Estimates Released.</x:v>
      </x:c>
    </x:row>
    <x:row r="21" ht="38" customHeight="1">
      <x:c r="A21" s="169" t="str">
        <x:v>Miller, J.D. et al. (2009) high-severity mortality rate, as cited secondhand in the NPS (2021) report above.</x:v>
      </x:c>
    </x:row>
    <x:row r="23" ht="26">
      <x:c r="A23" s="8" t="s">
        <x:v>13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baseColWidth="10" defaultColWidth="8.6640625" defaultRowHeight="15"/>
  <x:cols>
    <x:col min="1" max="1" width="18" hidden="0" customWidth="1"/>
    <x:col min="2" max="2" width="9" hidden="0" customWidth="1"/>
    <x:col min="3" max="3" width="38"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5" hidden="0" customWidth="1"/>
    <x:col min="16" max="16" width="11" hidden="0" customWidth="1"/>
    <x:col min="17" max="17" width="11" hidden="0" customWidth="1"/>
    <x:col min="18" max="18" width="11" hidden="0" customWidth="1"/>
    <x:col min="19" max="19" width="11" hidden="0" customWidth="1"/>
  </x:cols>
  <x:sheetData>
    <x:row r="1" ht="20">
      <x:c r="A1" s="66" t="s">
        <x:v>14</x:v>
      </x:c>
    </x:row>
    <x:row r="2" ht="105">
      <x:c r="A2" s="67" t="s">
        <x:v>15</x:v>
      </x:c>
    </x:row>
    <x:row r="4" ht="40" customHeight="1">
      <x:c r="A4" s="35" t="str">
        <x:v>Fire Name</x:v>
      </x:c>
      <x:c r="B4" s="35" t="str">
        <x:v>Year</x:v>
      </x:c>
      <x:c r="C4" s="35" t="str">
        <x:v>Primary Administering Area</x:v>
      </x:c>
      <x:c r="D4" s="35" t="str">
        <x:v>Acres – Low Severity</x:v>
      </x:c>
      <x:c r="E4" s="35" t="str">
        <x:v>Acres – Moderate Severity</x:v>
      </x:c>
      <x:c r="F4" s="35" t="str">
        <x:v>Acres – High Severity</x:v>
      </x:c>
      <x:c r="G4" s="35" t="str">
        <x:v>Acres – Other / Not Classified</x:v>
      </x:c>
      <x:c r="H4" s="35" t="str">
        <x:v>Total Grove Acres Burned</x:v>
      </x:c>
      <x:c r="I4" s="35" t="str">
        <x:v>Groves Affected (count)</x:v>
      </x:c>
      <x:c r="J4" s="35" t="str">
        <x:v>Low ValueType</x:v>
      </x:c>
      <x:c r="K4" s="35" t="str">
        <x:v>Mod ValueType</x:v>
      </x:c>
      <x:c r="L4" s="35" t="str">
        <x:v>High ValueType</x:v>
      </x:c>
      <x:c r="M4" s="35" t="str">
        <x:v>Other ValueType</x:v>
      </x:c>
      <x:c r="N4" s="35" t="str">
        <x:v>Total ValueType</x:v>
      </x:c>
      <x:c r="O4" s="35" t="str">
        <x:v>Source</x:v>
      </x:c>
      <x:c r="P4" s="35" t="str">
        <x:v>LowSevPct</x:v>
      </x:c>
      <x:c r="Q4" s="35" t="str">
        <x:v>ModSevPct</x:v>
      </x:c>
      <x:c r="R4" s="35" t="str">
        <x:v>HighSevPct</x:v>
      </x:c>
      <x:c r="S4" s="35" t="str">
        <x:v>OtherSevPct</x:v>
      </x:c>
    </x:row>
    <x:row r="5" ht="34" customHeight="1">
      <x:c r="A5" s="68" t="str">
        <x:v>Castle Fire</x:v>
      </x:c>
      <x:c r="B5" s="41" t="n">
        <x:v>2020</x:v>
      </x:c>
      <x:c r="C5" s="42" t="str">
        <x:v>Sequoia National Forest, Sequoia National Park, Mountain Home Demonstration State Forest, private land</x:v>
      </x:c>
      <x:c r="D5" s="51" t="n">
        <x:v>3840.83</x:v>
      </x:c>
      <x:c r="E5" s="51" t="n">
        <x:v>1982.46</x:v>
      </x:c>
      <x:c r="F5" s="51" t="n">
        <x:v>2810.23</x:v>
      </x:c>
      <x:c r="G5" s="51" t="n">
        <x:f>TotalAcres_Castle-SUM(LowAcres_Castle,ModAcres_Castle,HighAcres_Castle)</x:f>
        <x:v>897.6000000000004</x:v>
      </x:c>
      <x:c r="H5" s="51" t="n">
        <x:v>9531.12</x:v>
      </x:c>
      <x:c r="I5" s="52"/>
      <x:c r="J5" s="42" t="str">
        <x:v>Reported</x:v>
      </x:c>
      <x:c r="K5" s="72" t="str">
        <x:v>Reported</x:v>
      </x:c>
      <x:c r="L5" s="72" t="str">
        <x:v>Reported</x:v>
      </x:c>
      <x:c r="M5" s="72" t="str">
        <x:v>Derived</x:v>
      </x:c>
      <x:c r="N5" s="72" t="str">
        <x:v>Reported</x:v>
      </x:c>
      <x:c r="O5" s="72" t="str">
        <x:v>Stephenson &amp; Brigham (2021)</x:v>
      </x:c>
      <x:c r="P5" s="56" t="n">
        <x:f>LowAcres_Castle/TotalAcres_Castle</x:f>
        <x:v>0.4029778242221271</x:v>
      </x:c>
      <x:c r="Q5" s="56" t="n">
        <x:f>ModAcres_Castle/TotalAcres_Castle</x:f>
        <x:v>0.2079986402437489</x:v>
      </x:c>
      <x:c r="R5" s="56" t="n">
        <x:f>HighAcres_Castle/TotalAcres_Castle</x:f>
        <x:v>0.2948478248096761</x:v>
      </x:c>
      <x:c r="S5" s="56" t="n">
        <x:f>OtherAcres_Castle/TotalAcres_Castle</x:f>
        <x:v>0.09417571072444794</x:v>
      </x:c>
    </x:row>
    <x:row r="6" ht="34" customHeight="1">
      <x:c r="A6" s="68" t="str">
        <x:v>KNP Complex</x:v>
      </x:c>
      <x:c r="B6" s="41" t="n">
        <x:v>2021</x:v>
      </x:c>
      <x:c r="C6" s="42" t="str">
        <x:v>Sequoia &amp; Kings Canyon National Parks (primarily)</x:v>
      </x:c>
      <x:c r="D6" s="51" t="n">
        <x:v>1849</x:v>
      </x:c>
      <x:c r="E6" s="51" t="n">
        <x:v>740</x:v>
      </x:c>
      <x:c r="F6" s="51" t="n">
        <x:v>616</x:v>
      </x:c>
      <x:c r="G6" s="51" t="n">
        <x:v>1169</x:v>
      </x:c>
      <x:c r="H6" s="51" t="n">
        <x:f>SUM(LowAcres_KNP,ModAcres_KNP,HighAcres_KNP,OtherAcres_KNP)</x:f>
        <x:v>4374</x:v>
      </x:c>
      <x:c r="I6" s="53" t="n">
        <x:v>16</x:v>
      </x:c>
      <x:c r="J6" s="42" t="str">
        <x:v>Reported</x:v>
      </x:c>
      <x:c r="K6" s="72" t="str">
        <x:v>Reported</x:v>
      </x:c>
      <x:c r="L6" s="72" t="str">
        <x:v>Reported</x:v>
      </x:c>
      <x:c r="M6" s="72" t="str">
        <x:v>Reported</x:v>
      </x:c>
      <x:c r="N6" s="72" t="str">
        <x:v>Derived</x:v>
      </x:c>
      <x:c r="O6" s="72" t="str">
        <x:v>NPS (2021) Fire Season Impacts</x:v>
      </x:c>
      <x:c r="P6" s="56" t="n">
        <x:f>LowAcres_KNP/TotalAcres_KNP</x:f>
        <x:v>0.4227251943301326</x:v>
      </x:c>
      <x:c r="Q6" s="56" t="n">
        <x:f>ModAcres_KNP/TotalAcres_KNP</x:f>
        <x:v>0.16918152720621857</x:v>
      </x:c>
      <x:c r="R6" s="56" t="n">
        <x:f>HighAcres_KNP/TotalAcres_KNP</x:f>
        <x:v>0.14083219021490626</x:v>
      </x:c>
      <x:c r="S6" s="56" t="n">
        <x:f>OtherAcres_KNP/TotalAcres_KNP</x:f>
        <x:v>0.26726108824874256</x:v>
      </x:c>
    </x:row>
    <x:row r="7" ht="34" customHeight="1">
      <x:c r="A7" s="68" t="str">
        <x:v>Windy Fire</x:v>
      </x:c>
      <x:c r="B7" s="41" t="n">
        <x:v>2021</x:v>
      </x:c>
      <x:c r="C7" s="42" t="str">
        <x:v>Sequoia National Forest / Tule River Indian Reservation</x:v>
      </x:c>
      <x:c r="D7" s="51" t="n">
        <x:v>659</x:v>
      </x:c>
      <x:c r="E7" s="51" t="n">
        <x:v>437</x:v>
      </x:c>
      <x:c r="F7" s="51" t="n">
        <x:v>411</x:v>
      </x:c>
      <x:c r="G7" s="51" t="n">
        <x:v>228</x:v>
      </x:c>
      <x:c r="H7" s="51" t="n">
        <x:f>SUM(LowAcres_Windy,ModAcres_Windy,HighAcres_Windy,OtherAcres_Windy)</x:f>
        <x:v>1735</x:v>
      </x:c>
      <x:c r="I7" s="53" t="n">
        <x:v>11</x:v>
      </x:c>
      <x:c r="J7" s="42" t="str">
        <x:v>Reported</x:v>
      </x:c>
      <x:c r="K7" s="72" t="str">
        <x:v>Reported</x:v>
      </x:c>
      <x:c r="L7" s="72" t="str">
        <x:v>Reported</x:v>
      </x:c>
      <x:c r="M7" s="72" t="str">
        <x:v>Reported</x:v>
      </x:c>
      <x:c r="N7" s="72" t="str">
        <x:v>Derived</x:v>
      </x:c>
      <x:c r="O7" s="72" t="str">
        <x:v>NPS (2021) Fire Season Impacts</x:v>
      </x:c>
      <x:c r="P7" s="56" t="n">
        <x:f>LowAcres_Windy/TotalAcres_Windy</x:f>
        <x:v>0.3798270893371758</x:v>
      </x:c>
      <x:c r="Q7" s="56" t="n">
        <x:f>ModAcres_Windy/TotalAcres_Windy</x:f>
        <x:v>0.2518731988472622</x:v>
      </x:c>
      <x:c r="R7" s="56" t="n">
        <x:f>HighAcres_Windy/TotalAcres_Windy</x:f>
        <x:v>0.23688760806916426</x:v>
      </x:c>
      <x:c r="S7" s="56" t="n">
        <x:f>OtherAcres_Windy/TotalAcres_Windy</x:f>
        <x:v>0.1314121037463977</x:v>
      </x:c>
    </x:row>
    <x:row r="8" ht="15.75" customHeight="1">
      <x:c r="A8" s="69" t="str">
        <x:v>Total – Reported Grove Counts</x:v>
      </x:c>
      <x:c r="B8" s="62"/>
      <x:c r="C8" s="62"/>
      <x:c r="D8" s="63" t="n">
        <x:f t="shared" ref="D8:I8" si="0">SUM(LowAcresByFire)</x:f>
        <x:v>6348.83</x:v>
      </x:c>
      <x:c r="E8" s="63" t="n">
        <x:f t="shared" si="0">SUM(ModAcresByFire)</x:f>
        <x:v>3159.46</x:v>
      </x:c>
      <x:c r="F8" s="63" t="n">
        <x:f t="shared" si="0">SUM(HighAcresByFire)</x:f>
        <x:v>3837.23</x:v>
      </x:c>
      <x:c r="G8" s="63" t="n">
        <x:f t="shared" si="0">SUM(OtherAcresByFire)</x:f>
        <x:v>2294.6000000000004</x:v>
      </x:c>
      <x:c r="H8" s="63" t="n">
        <x:f t="shared" si="0">SUM(TotalAcresByFire)</x:f>
        <x:v>15640.12</x:v>
      </x:c>
      <x:c r="I8" s="64" t="n">
        <x:f t="shared" si="0">SUM(GrovesAffectedCounts)</x:f>
        <x:v>27</x:v>
      </x:c>
      <x:c r="J8" s="62"/>
      <x:c r="K8" s="65"/>
      <x:c r="L8" s="65"/>
      <x:c r="M8" s="65"/>
      <x:c r="N8" s="65"/>
      <x:c r="O8" s="65"/>
      <x:c r="P8" s="65"/>
      <x:c r="Q8" s="65"/>
      <x:c r="R8" s="65"/>
      <x:c r="S8" s="65"/>
    </x:row>
    <x:row r="9">
      <x:c r="A9" s="73"/>
      <x:c r="B9" s="74"/>
      <x:c r="C9" s="74"/>
      <x:c r="D9" s="74"/>
      <x:c r="E9" s="74"/>
      <x:c r="F9" s="74"/>
      <x:c r="G9" s="74"/>
      <x:c r="H9" s="74"/>
      <x:c r="I9" s="74"/>
      <x:c r="J9" s="74"/>
      <x:c r="K9" s="74"/>
      <x:c r="L9" s="74"/>
      <x:c r="M9" s="74"/>
      <x:c r="N9" s="74"/>
      <x:c r="O9" s="74"/>
      <x:c r="P9" s="74"/>
      <x:c r="Q9" s="74"/>
      <x:c r="R9" s="74"/>
      <x:c r="S9" s="74"/>
    </x:row>
    <x:row r="10" ht="30" customHeight="1">
      <x:c r="A10" s="71" t="str">
        <x:v>Note: Castle's Other acres are the derived remainder; KNP and Windy Other acres are reported. Blank Groves Affected means not reported, not zero.</x:v>
      </x:c>
      <x:c r="B10" s="74"/>
      <x:c r="C10" s="74"/>
      <x:c r="D10" s="74"/>
      <x:c r="E10" s="74"/>
      <x:c r="F10" s="74"/>
      <x:c r="G10" s="74"/>
      <x:c r="H10" s="74"/>
      <x:c r="I10" s="74"/>
      <x:c r="J10" s="74"/>
      <x:c r="K10" s="74"/>
      <x:c r="L10" s="74"/>
      <x:c r="M10" s="74"/>
      <x:c r="N10" s="74"/>
      <x:c r="O10" s="74"/>
      <x:c r="P10" s="74"/>
      <x:c r="Q10" s="74"/>
      <x:c r="R10" s="74"/>
      <x:c r="S10" s="74"/>
    </x:row>
  </x:sheetData>
  <x:mergeCells>
    <x:mergeCell ref="A10:S10"/>
  </x:mergeCells>
  <x:pageMargins left="0.7" right="0.7" top="0.75" bottom="0.75" header="0.3" footer="0.3"/>
  <x:legacyDrawing xmlns:r="http://schemas.openxmlformats.org/officeDocument/2006/relationships" r:id="R54c3dfb40a4a458b"/>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baseColWidth="10" defaultColWidth="8.6640625" defaultRowHeight="15"/>
  <x:cols>
    <x:col min="1" max="1" width="27" hidden="0" customWidth="1"/>
    <x:col min="2" max="3" width="16" customWidth="1"/>
    <x:col min="4" max="4" width="14" hidden="0" customWidth="1"/>
    <x:col min="5" max="6" width="34" customWidth="1"/>
    <x:col min="2" max="2" width="16" hidden="0" customWidth="1"/>
    <x:col min="3" max="3" width="25" hidden="0" customWidth="1"/>
    <x:col min="5" max="5" width="12" hidden="0" customWidth="1"/>
    <x:col min="6" max="6" width="18" hidden="0" customWidth="1"/>
    <x:col min="7" max="7" width="27" hidden="0" customWidth="1"/>
    <x:col min="8" max="8" width="20"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0">
      <x:c r="A1" s="66" t="str">
        <x:v>Mortality Calculator</x:v>
      </x:c>
      <x:c r="B1" s="74"/>
      <x:c r="C1" s="74"/>
      <x:c r="D1" s="74"/>
      <x:c r="E1" s="74"/>
      <x:c r="F1" s="74"/>
      <x:c r="G1" s="74"/>
      <x:c r="H1" s="74"/>
      <x:c r="I1" s="74"/>
      <x:c r="J1" s="74"/>
      <x:c r="K1" s="74"/>
      <x:c r="L1" s="74"/>
      <x:c r="M1" s="74"/>
      <x:c r="N1" s="74"/>
    </x:row>
    <x:row r="2">
      <x:c r="A2" s="74"/>
      <x:c r="B2" s="74"/>
      <x:c r="C2" s="74"/>
      <x:c r="D2" s="74"/>
      <x:c r="E2" s="74"/>
      <x:c r="F2" s="74"/>
      <x:c r="G2" s="74"/>
      <x:c r="H2" s="74"/>
      <x:c r="I2" s="74"/>
      <x:c r="J2" s="74"/>
      <x:c r="K2" s="74"/>
      <x:c r="L2" s="74"/>
      <x:c r="M2" s="74"/>
      <x:c r="N2" s="74"/>
    </x:row>
    <x:row r="3" ht="16">
      <x:c r="A3" s="76" t="str">
        <x:v>A. Officially Reported Mortality Estimates (large giant sequoias, ≥ 4 ft diameter)</x:v>
      </x:c>
      <x:c r="B3" s="74"/>
      <x:c r="C3" s="74"/>
      <x:c r="D3" s="74"/>
      <x:c r="E3" s="74"/>
      <x:c r="F3" s="74"/>
      <x:c r="G3" s="74"/>
      <x:c r="H3" s="76" t="str">
        <x:v>E. Calibration and integrity checks</x:v>
      </x:c>
      <x:c r="I3" s="74"/>
      <x:c r="J3" s="74"/>
      <x:c r="K3" s="74"/>
      <x:c r="L3" s="74"/>
      <x:c r="M3" s="74"/>
      <x:c r="N3" s="74"/>
    </x:row>
    <x:row r="4" ht="34" customHeight="1">
      <x:c r="A4" s="35" t="str">
        <x:v>Fire</x:v>
      </x:c>
      <x:c r="B4" s="35" t="str">
        <x:v>Low Estimate (trees)</x:v>
      </x:c>
      <x:c r="C4" s="35" t="str">
        <x:v>High Estimate (trees)</x:v>
      </x:c>
      <x:c r="D4" s="35" t="str">
        <x:v>Midpoint (trees)</x:v>
      </x:c>
      <x:c r="E4" s="35" t="str">
        <x:v>LowPct</x:v>
      </x:c>
      <x:c r="F4" s="35" t="str">
        <x:v>HighPct</x:v>
      </x:c>
      <x:c r="G4" s="35" t="str">
        <x:v>Source</x:v>
      </x:c>
      <x:c r="H4" s="35" t="str">
        <x:v>Fire</x:v>
      </x:c>
      <x:c r="I4" s="35" t="str">
        <x:v>Severity-Weighted Acres</x:v>
      </x:c>
      <x:c r="J4" s="35" t="str">
        <x:v>Reported Midpoint</x:v>
      </x:c>
      <x:c r="K4" s="35" t="str">
        <x:v>Implied Density</x:v>
      </x:c>
      <x:c r="L4" s="35" t="str">
        <x:v>Severity % Check</x:v>
      </x:c>
      <x:c r="M4" s="35" t="str">
        <x:v>Low Implied Density</x:v>
      </x:c>
      <x:c r="N4" s="35" t="str">
        <x:v>High Implied Density</x:v>
      </x:c>
    </x:row>
    <x:row r="5" ht="27.75" customHeight="1">
      <x:c r="A5" s="40" t="str">
        <x:v>Castle Fire (2020)</x:v>
      </x:c>
      <x:c r="B5" s="114" t="n">
        <x:v>7500</x:v>
      </x:c>
      <x:c r="C5" s="114" t="n">
        <x:v>10600</x:v>
      </x:c>
      <x:c r="D5" s="115" t="n">
        <x:f>AVERAGE(ReportedLow_Castle,ReportedHigh_Castle)</x:f>
        <x:v>9050</x:v>
      </x:c>
      <x:c r="E5" s="109" t="n">
        <x:v>0.1</x:v>
      </x:c>
      <x:c r="F5" s="110" t="n">
        <x:v>0.14</x:v>
      </x:c>
      <x:c r="G5" s="72" t="str">
        <x:v>Stephenson &amp; Brigham (2021)</x:v>
      </x:c>
      <x:c r="H5" s="72" t="str">
        <x:v>Castle Fire</x:v>
      </x:c>
      <x:c r="I5" s="137" t="n">
        <x:f>LowSevRate*LowAcres_Castle+ModSevRate*ModAcres_Castle+HighSevRate*HighAcres_Castle</x:f>
        <x:v>3762.05396</x:v>
      </x:c>
      <x:c r="J5" s="137" t="n">
        <x:f>ReportedMidpoint_Castle</x:f>
        <x:v>9050</x:v>
      </x:c>
      <x:c r="K5" s="138" t="n">
        <x:f>ReportedMidpoint_Castle/SeverityWeighted_Castle</x:f>
        <x:v>2.4056007957950714</x:v>
      </x:c>
      <x:c r="L5" s="72" t="b">
        <x:f>SUM(SeverityPct_Castle)=1</x:f>
        <x:v>1</x:v>
      </x:c>
      <x:c r="M5" s="138" t="n">
        <x:f>ReportedLow_Castle/SeverityWeighted_Castle</x:f>
        <x:v>1.9935918197196725</x:v>
      </x:c>
      <x:c r="N5" s="138" t="n">
        <x:f>ReportedHigh_Castle/SeverityWeighted_Castle</x:f>
        <x:v>2.8176097718704702</x:v>
      </x:c>
    </x:row>
    <x:row r="6" ht="27.75" customHeight="1">
      <x:c r="A6" s="40" t="str">
        <x:v>KNP Complex (2021)</x:v>
      </x:c>
      <x:c r="B6" s="114" t="n">
        <x:v>1330</x:v>
      </x:c>
      <x:c r="C6" s="114" t="n">
        <x:v>2380</x:v>
      </x:c>
      <x:c r="D6" s="115" t="n">
        <x:f>AVERAGE(ReportedLow_KNP,ReportedHigh_KNP)</x:f>
        <x:v>1855</x:v>
      </x:c>
      <x:c r="E6" s="111"/>
      <x:c r="F6" s="110"/>
      <x:c r="G6" s="72" t="str">
        <x:v>NPS (2021) Fire Season Impacts report</x:v>
      </x:c>
      <x:c r="H6" s="72" t="str">
        <x:v>KNP Complex</x:v>
      </x:c>
      <x:c r="I6" s="137" t="n">
        <x:f>LowSevRate*LowAcres_KNP+ModSevRate*ModAcres_KNP+HighSevRate*HighAcres_KNP</x:f>
        <x:v>992.9399999999999</x:v>
      </x:c>
      <x:c r="J6" s="137" t="n">
        <x:f>ReportedMidpoint_KNP</x:f>
        <x:v>1855</x:v>
      </x:c>
      <x:c r="K6" s="138" t="n">
        <x:f>ReportedMidpoint_KNP/SeverityWeighted_KNP</x:f>
        <x:v>1.8681894172860396</x:v>
      </x:c>
      <x:c r="L6" s="72" t="b">
        <x:f>SUM(SeverityPct_KNP)=1</x:f>
        <x:v>1</x:v>
      </x:c>
      <x:c r="M6" s="138" t="n">
        <x:f>ReportedLow_KNP/SeverityWeighted_KNP</x:f>
        <x:v>1.3394565633371605</x:v>
      </x:c>
      <x:c r="N6" s="138" t="n">
        <x:f>ReportedHigh_KNP/SeverityWeighted_KNP</x:f>
        <x:v>2.3969222712349185</x:v>
      </x:c>
    </x:row>
    <x:row r="7" ht="27.75" customHeight="1">
      <x:c r="A7" s="40" t="str">
        <x:v>Windy Fire (2021)</x:v>
      </x:c>
      <x:c r="B7" s="114" t="n">
        <x:v>931</x:v>
      </x:c>
      <x:c r="C7" s="114" t="n">
        <x:v>1257</x:v>
      </x:c>
      <x:c r="D7" s="115" t="n">
        <x:f>AVERAGE(ReportedLow_Windy,ReportedHigh_Windy)</x:f>
        <x:v>1094</x:v>
      </x:c>
      <x:c r="E7" s="111"/>
      <x:c r="F7" s="110"/>
      <x:c r="G7" s="72" t="str">
        <x:v>NPS (2021) Fire Season Impacts report</x:v>
      </x:c>
      <x:c r="H7" s="72" t="str">
        <x:v>Windy Fire</x:v>
      </x:c>
      <x:c r="I7" s="137" t="n">
        <x:f>LowSevRate*LowAcres_Windy+ModSevRate*ModAcres_Windy+HighSevRate*HighAcres_Windy</x:f>
        <x:v>631.237</x:v>
      </x:c>
      <x:c r="J7" s="137" t="n">
        <x:f>ReportedMidpoint_Windy</x:f>
        <x:v>1094</x:v>
      </x:c>
      <x:c r="K7" s="138" t="n">
        <x:f>ReportedMidpoint_Windy/SeverityWeighted_Windy</x:f>
        <x:v>1.733104998597991</x:v>
      </x:c>
      <x:c r="L7" s="72" t="b">
        <x:f>SUM(SeverityPct_Windy)=1</x:f>
        <x:v>1</x:v>
      </x:c>
      <x:c r="M7" s="138" t="n">
        <x:f>ReportedLow_Windy/SeverityWeighted_Windy</x:f>
        <x:v>1.474881858953135</x:v>
      </x:c>
      <x:c r="N7" s="138" t="n">
        <x:f>ReportedHigh_Windy/SeverityWeighted_Windy</x:f>
        <x:v>1.9913281382428472</x:v>
      </x:c>
    </x:row>
    <x:row r="8" ht="27.75" customHeight="1">
      <x:c r="A8" s="50" t="str">
        <x:v>Combined 2021 (KNP + Windy)</x:v>
      </x:c>
      <x:c r="B8" s="115" t="n">
        <x:f>ReportedLow_KNP+ReportedLow_Windy</x:f>
        <x:v>2261</x:v>
      </x:c>
      <x:c r="C8" s="115" t="n">
        <x:f>ReportedHigh_KNP+ReportedHigh_Windy</x:f>
        <x:v>3637</x:v>
      </x:c>
      <x:c r="D8" s="115" t="n">
        <x:f>AVERAGE(Combined2021Low,Combined2021High)</x:f>
        <x:v>2949</x:v>
      </x:c>
      <x:c r="E8" s="109" t="n">
        <x:v>0.03</x:v>
      </x:c>
      <x:c r="F8" s="110" t="n">
        <x:v>0.05</x:v>
      </x:c>
      <x:c r="G8" s="72" t="str">
        <x:v>NPS (2021) Fire Season Impacts report</x:v>
      </x:c>
      <x:c r="H8" s="72"/>
      <x:c r="I8" s="72"/>
      <x:c r="J8" s="72"/>
      <x:c r="K8" s="72"/>
      <x:c r="L8" s="72"/>
      <x:c r="M8" s="72"/>
      <x:c r="N8" s="72"/>
    </x:row>
    <x:row r="9" ht="27.75" customHeight="1">
      <x:c r="A9" s="47" t="str">
        <x:v>2-Year Total (2020 + 2021)</x:v>
      </x:c>
      <x:c r="B9" s="116" t="n">
        <x:f>ReportedLow_Castle+Combined2021Low</x:f>
        <x:v>9761</x:v>
      </x:c>
      <x:c r="C9" s="116" t="n">
        <x:f>ReportedHigh_Castle+Combined2021High</x:f>
        <x:v>14237</x:v>
      </x:c>
      <x:c r="D9" s="116" t="n">
        <x:f>AVERAGE(OverallReportedLow,OverallReportedHigh)</x:f>
        <x:v>11999</x:v>
      </x:c>
      <x:c r="E9" s="112" t="n">
        <x:v>0.13</x:v>
      </x:c>
      <x:c r="F9" s="113" t="n">
        <x:v>0.19</x:v>
      </x:c>
      <x:c r="G9" s="72" t="str">
        <x:v>NPS press release, Nov. 19, 2021</x:v>
      </x:c>
      <x:c r="H9" s="72" t="str">
        <x:v>Combined 2021 low check</x:v>
      </x:c>
      <x:c r="I9" s="72" t="b">
        <x:f>ReportedLow_KNP+ReportedLow_Windy=Combined2021Low</x:f>
        <x:v>1</x:v>
      </x:c>
      <x:c r="J9" s="72"/>
      <x:c r="K9" s="72"/>
      <x:c r="L9" s="72"/>
      <x:c r="M9" s="72"/>
      <x:c r="N9" s="72"/>
    </x:row>
    <x:row r="10">
      <x:c r="A10" s="74"/>
      <x:c r="B10" s="74"/>
      <x:c r="C10" s="74"/>
      <x:c r="D10" s="74"/>
      <x:c r="E10" s="74"/>
      <x:c r="F10" s="74"/>
      <x:c r="G10" s="74"/>
      <x:c r="H10" s="72" t="str">
        <x:v>Combined 2021 high check</x:v>
      </x:c>
      <x:c r="I10" s="72" t="b">
        <x:f>ReportedHigh_KNP+ReportedHigh_Windy=Combined2021High</x:f>
        <x:v>1</x:v>
      </x:c>
      <x:c r="J10" s="72"/>
      <x:c r="K10" s="72"/>
      <x:c r="L10" s="72"/>
      <x:c r="M10" s="72"/>
      <x:c r="N10" s="72"/>
    </x:row>
    <x:row r="11" ht="26" customHeight="1">
      <x:c r="A11" s="32" t="str">
        <x:v>Published population-share ranges have been split into numeric LowPct and HighPct columns. KNP and Windy are components of the combined 2021 range, so no separate share was reported.</x:v>
      </x:c>
      <x:c r="B11" s="74"/>
      <x:c r="C11" s="74"/>
      <x:c r="D11" s="74"/>
      <x:c r="E11" s="74"/>
      <x:c r="F11" s="74"/>
      <x:c r="G11" s="74"/>
      <x:c r="H11" s="74"/>
      <x:c r="I11" s="74"/>
      <x:c r="J11" s="74"/>
      <x:c r="K11" s="74"/>
      <x:c r="L11" s="74"/>
      <x:c r="M11" s="74"/>
      <x:c r="N11" s="74"/>
    </x:row>
    <x:row r="12">
      <x:c r="A12" s="74"/>
      <x:c r="B12" s="74"/>
      <x:c r="C12" s="74"/>
      <x:c r="D12" s="74"/>
      <x:c r="E12" s="74"/>
      <x:c r="F12" s="74"/>
      <x:c r="G12" s="74"/>
      <x:c r="H12" s="75" t="str">
        <x:v>Checks compare independently sourced inputs. Any FALSE is a review flag.</x:v>
      </x:c>
      <x:c r="I12" s="74"/>
      <x:c r="J12" s="74"/>
      <x:c r="K12" s="74"/>
      <x:c r="L12" s="74"/>
      <x:c r="M12" s="74"/>
      <x:c r="N12" s="74"/>
    </x:row>
    <x:row r="13" ht="18" customHeight="1">
      <x:c r="A13" s="76" t="str">
        <x:v>B. Dynamic Severity-Based Estimator</x:v>
      </x:c>
      <x:c r="B13" s="74"/>
      <x:c r="C13" s="74"/>
      <x:c r="D13" s="74"/>
      <x:c r="E13" s="74"/>
      <x:c r="F13" s="74"/>
      <x:c r="G13" s="74"/>
      <x:c r="H13" s="74"/>
      <x:c r="I13" s="74"/>
      <x:c r="J13" s="74"/>
      <x:c r="K13" s="74"/>
      <x:c r="L13" s="74"/>
      <x:c r="M13" s="74"/>
      <x:c r="N13" s="74"/>
    </x:row>
    <x:row r="14" ht="48" customHeight="1">
      <x:c r="A14" s="33" t="str">
        <x:v>Fire selector</x:v>
      </x:c>
      <x:c r="B14" s="124" t="str">
        <x:v>KNP Complex</x:v>
      </x:c>
      <x:c r="C14" s="154" t="str">
        <x:v>Select a fire to update all inputs</x:v>
      </x:c>
      <x:c r="D14" s="155"/>
      <x:c r="E14" s="33" t="str">
        <x:v>Version</x:v>
      </x:c>
      <x:c r="F14" s="33" t="str">
        <x:v>v1.0 – 2026-10-17</x:v>
      </x:c>
      <x:c r="G14" s="74"/>
      <x:c r="H14" s="74"/>
      <x:c r="I14" s="74"/>
      <x:c r="J14" s="74"/>
      <x:c r="K14" s="74"/>
      <x:c r="L14" s="74"/>
      <x:c r="M14" s="74"/>
      <x:c r="N14" s="74"/>
    </x:row>
    <x:row r="15" ht="33.75" customHeight="1">
      <x:c r="A15" s="156"/>
      <x:c r="B15" s="157"/>
      <x:c r="C15" s="158"/>
      <x:c r="D15" s="159"/>
      <x:c r="E15" s="160"/>
      <x:c r="F15" s="161"/>
      <x:c r="G15" s="74"/>
      <x:c r="H15" s="74"/>
      <x:c r="I15" s="74"/>
      <x:c r="J15" s="74"/>
      <x:c r="K15" s="74"/>
      <x:c r="L15" s="74"/>
      <x:c r="M15" s="74"/>
      <x:c r="N15" s="74"/>
    </x:row>
    <x:row r="16" ht="34" customHeight="1">
      <x:c r="A16" s="35" t="str">
        <x:v>Severity Class</x:v>
      </x:c>
      <x:c r="B16" s="100" t="str">
        <x:v>Mortality Rate</x:v>
      </x:c>
      <x:c r="C16" s="35" t="str">
        <x:v>Rate Source</x:v>
      </x:c>
      <x:c r="D16" s="101" t="str">
        <x:v>Acres Burned</x:v>
      </x:c>
      <x:c r="E16" s="102" t="str">
        <x:v>Calibrated Density</x:v>
      </x:c>
      <x:c r="F16" s="103" t="str">
        <x:v>Estimated Trees Killed</x:v>
      </x:c>
      <x:c r="G16" s="74"/>
      <x:c r="H16" s="74"/>
      <x:c r="I16" s="74"/>
      <x:c r="J16" s="74"/>
      <x:c r="K16" s="74"/>
      <x:c r="L16" s="74"/>
      <x:c r="M16" s="74"/>
      <x:c r="N16" s="74"/>
    </x:row>
    <x:row r="17" ht="42" customHeight="1">
      <x:c r="A17" s="143" t="str">
        <x:v>High severity</x:v>
      </x:c>
      <x:c r="B17" s="162" t="n">
        <x:f>HighSevRate</x:f>
        <x:v>0.95</x:v>
      </x:c>
      <x:c r="C17" s="150" t="str">
        <x:v>Miller et al. (2009), as cited in NPS (2021) KNP/Windy report</x:v>
      </x:c>
      <x:c r="D17" s="163" t="n">
        <x:f>INDEX(HighAcresByFire,MATCH(SelectedFire,FireNames,0))</x:f>
        <x:v>616</x:v>
      </x:c>
      <x:c r="E17" s="163" t="n">
        <x:f>Density</x:f>
        <x:v>1.8681894172860396</x:v>
      </x:c>
      <x:c r="F17" s="120" t="n">
        <x:f>HighSevRate*HighAcres*Density</x:f>
        <x:v>1093.2644469957902</x:v>
      </x:c>
      <x:c r="G17" s="74"/>
      <x:c r="H17" s="74"/>
      <x:c r="I17" s="74"/>
      <x:c r="J17" s="74"/>
      <x:c r="K17" s="74"/>
      <x:c r="L17" s="74"/>
      <x:c r="M17" s="74"/>
      <x:c r="N17" s="74"/>
    </x:row>
    <x:row r="18" ht="42" customHeight="1">
      <x:c r="A18" s="151" t="str">
        <x:v>Moderate severity</x:v>
      </x:c>
      <x:c r="B18" s="162" t="n">
        <x:f>ModSevRate</x:f>
        <x:v>0.551</x:v>
      </x:c>
      <x:c r="C18" s="147" t="str">
        <x:v>Stephenson &amp; Brigham (2021), Castle Fire–specific analysis</x:v>
      </x:c>
      <x:c r="D18" s="163" t="n">
        <x:f>INDEX(ModAcresByFire,MATCH(SelectedFire,FireNames,0))</x:f>
        <x:v>740</x:v>
      </x:c>
      <x:c r="E18" s="163" t="n">
        <x:f>Density</x:f>
        <x:v>1.8681894172860396</x:v>
      </x:c>
      <x:c r="F18" s="54" t="n">
        <x:f>ModSevRate*ModAcres*Density</x:f>
        <x:v>761.7355530042098</x:v>
      </x:c>
      <x:c r="G18" s="74"/>
      <x:c r="H18" s="74"/>
      <x:c r="I18" s="74"/>
      <x:c r="J18" s="74"/>
      <x:c r="K18" s="74"/>
      <x:c r="L18" s="74"/>
      <x:c r="M18" s="74"/>
      <x:c r="N18" s="74"/>
    </x:row>
    <x:row r="19" ht="42" customHeight="1">
      <x:c r="A19" s="143" t="str">
        <x:v>Low severity</x:v>
      </x:c>
      <x:c r="B19" s="162" t="n">
        <x:f>LowSevRate</x:f>
        <x:v>0</x:v>
      </x:c>
      <x:c r="C19" s="143" t="str">
        <x:v>Not documented in original sources; set to 0% default and adjust only through the sensitivity input</x:v>
      </x:c>
      <x:c r="D19" s="163" t="n">
        <x:f>INDEX(LowAcresByFire,MATCH(SelectedFire,FireNames,0))</x:f>
        <x:v>1849</x:v>
      </x:c>
      <x:c r="E19" s="163" t="n">
        <x:f>Density</x:f>
        <x:v>1.8681894172860396</x:v>
      </x:c>
      <x:c r="F19" s="120" t="n">
        <x:f>LowSevRate*LowAcres*Density</x:f>
        <x:v>0</x:v>
      </x:c>
      <x:c r="G19" s="74"/>
      <x:c r="H19" s="74"/>
      <x:c r="I19" s="74"/>
      <x:c r="J19" s="74"/>
      <x:c r="K19" s="74"/>
      <x:c r="L19" s="74"/>
      <x:c r="M19" s="74"/>
      <x:c r="N19" s="74"/>
    </x:row>
    <x:row r="20" ht="24" customHeight="1">
      <x:c r="A20" s="129" t="str">
        <x:v>Total Estimated Trees Killed</x:v>
      </x:c>
      <x:c r="B20" s="65"/>
      <x:c r="C20" s="65"/>
      <x:c r="D20" s="130"/>
      <x:c r="E20" s="130"/>
      <x:c r="F20" s="130" t="n">
        <x:f>SUM(EstimatedHighMortality,EstimatedModMortality,EstimatedLowMortality)</x:f>
        <x:v>1855</x:v>
      </x:c>
      <x:c r="G20" s="74"/>
      <x:c r="H20" s="74"/>
      <x:c r="I20" s="74"/>
      <x:c r="J20" s="74"/>
      <x:c r="K20" s="74"/>
      <x:c r="L20" s="74"/>
      <x:c r="M20" s="74"/>
      <x:c r="N20" s="74"/>
    </x:row>
    <x:row r="21">
      <x:c r="A21" s="72" t="str">
        <x:v>Selected total grove acres</x:v>
      </x:c>
      <x:c r="B21" s="72"/>
      <x:c r="C21" s="72"/>
      <x:c r="D21" s="137" t="n">
        <x:f>INDEX(TotalAcresByFire,MATCH(SelectedFire,FireNames,0))</x:f>
        <x:v>4374</x:v>
      </x:c>
      <x:c r="E21" s="137"/>
      <x:c r="F21" s="137"/>
      <x:c r="G21" s="74"/>
      <x:c r="H21" s="74"/>
      <x:c r="I21" s="74"/>
      <x:c r="J21" s="74"/>
      <x:c r="K21" s="74"/>
      <x:c r="L21" s="74"/>
      <x:c r="M21" s="74"/>
      <x:c r="N21" s="74"/>
    </x:row>
    <x:row r="22">
      <x:c r="A22" s="72" t="str">
        <x:v>Calibrated density (low / base / high)</x:v>
      </x:c>
      <x:c r="B22" s="138" t="n">
        <x:f>INDEX(LowDensityByFire,MATCH(SelectedFire,FireNames,0))</x:f>
        <x:v>1.3394565633371605</x:v>
      </x:c>
      <x:c r="C22" s="138" t="n">
        <x:f>INDEX(ImpliedDensityByFire,MATCH(SelectedFire,FireNames,0))</x:f>
        <x:v>1.8681894172860396</x:v>
      </x:c>
      <x:c r="D22" s="138" t="n">
        <x:f>INDEX(HighDensityByFire,MATCH(SelectedFire,FireNames,0))</x:f>
        <x:v>2.3969222712349185</x:v>
      </x:c>
      <x:c r="E22" s="137"/>
      <x:c r="F22" s="137"/>
      <x:c r="G22" s="74"/>
      <x:c r="H22" s="74"/>
      <x:c r="I22" s="74"/>
      <x:c r="J22" s="74"/>
      <x:c r="K22" s="74"/>
      <x:c r="L22" s="74"/>
      <x:c r="M22" s="74"/>
      <x:c r="N22" s="74"/>
    </x:row>
    <x:row r="23">
      <x:c r="A23" s="74"/>
      <x:c r="B23" s="74"/>
      <x:c r="C23" s="74"/>
      <x:c r="D23" s="74"/>
      <x:c r="E23" s="74"/>
      <x:c r="F23" s="74"/>
      <x:c r="G23" s="74"/>
      <x:c r="H23" s="74"/>
      <x:c r="I23" s="74"/>
      <x:c r="J23" s="74"/>
      <x:c r="K23" s="74"/>
      <x:c r="L23" s="74"/>
      <x:c r="M23" s="74"/>
      <x:c r="N23" s="74"/>
    </x:row>
    <x:row r="24">
      <x:c r="A24" s="76" t="str">
        <x:v>C. Scenario and sensitivity</x:v>
      </x:c>
      <x:c r="B24" s="74"/>
      <x:c r="C24" s="74"/>
      <x:c r="D24" s="74"/>
      <x:c r="E24" s="74"/>
      <x:c r="F24" s="74"/>
      <x:c r="G24" s="74"/>
      <x:c r="H24" s="74"/>
      <x:c r="I24" s="74"/>
      <x:c r="J24" s="74"/>
      <x:c r="K24" s="74"/>
      <x:c r="L24" s="74"/>
      <x:c r="M24" s="74"/>
      <x:c r="N24" s="74"/>
    </x:row>
    <x:row r="25">
      <x:c r="A25" s="65" t="str">
        <x:v>Scenario mortality (trees)</x:v>
      </x:c>
      <x:c r="B25" s="65" t="str">
        <x:v>Low</x:v>
      </x:c>
      <x:c r="C25" s="65" t="str">
        <x:v>Base</x:v>
      </x:c>
      <x:c r="D25" s="65" t="str">
        <x:v>High</x:v>
      </x:c>
      <x:c r="E25" s="74"/>
      <x:c r="F25" s="74"/>
      <x:c r="G25" s="74"/>
      <x:c r="H25" s="74"/>
      <x:c r="I25" s="74"/>
      <x:c r="J25" s="74"/>
      <x:c r="K25" s="74"/>
      <x:c r="L25" s="74"/>
      <x:c r="M25" s="74"/>
      <x:c r="N25" s="74"/>
    </x:row>
    <x:row r="26">
      <x:c r="A26" s="72" t="str">
        <x:v>Estimated trees killed</x:v>
      </x:c>
      <x:c r="B26" s="142" t="n">
        <x:f>LowDensity*(LowSevRate*LowAcres+ModSevRate*ModAcres+HighSevRate*HighAcres)</x:f>
        <x:v>1330</x:v>
      </x:c>
      <x:c r="C26" s="142" t="n">
        <x:f>BaseMortality</x:f>
        <x:v>1855</x:v>
      </x:c>
      <x:c r="D26" s="142" t="n">
        <x:f>HighDensity*(HighScenarioLowRate*LowAcres+HighScenarioModRate*ModAcres+HighScenarioHighRate*HighAcres)</x:f>
        <x:v>2732.802989103068</x:v>
      </x:c>
      <x:c r="E26" s="74"/>
      <x:c r="F26" s="74"/>
      <x:c r="G26" s="74"/>
      <x:c r="H26" s="74"/>
      <x:c r="I26" s="74"/>
      <x:c r="J26" s="74"/>
      <x:c r="K26" s="74"/>
      <x:c r="L26" s="74"/>
      <x:c r="M26" s="74"/>
      <x:c r="N26" s="74"/>
    </x:row>
    <x:row r="27">
      <x:c r="A27" s="72" t="str">
        <x:v>Low-sev adjustment (0%–10%)</x:v>
      </x:c>
      <x:c r="B27" s="126" t="n">
        <x:v>0</x:v>
      </x:c>
      <x:c r="C27" s="72"/>
      <x:c r="D27" s="72"/>
      <x:c r="E27" s="74"/>
      <x:c r="F27" s="74"/>
      <x:c r="G27" s="74"/>
      <x:c r="H27" s="74"/>
      <x:c r="I27" s="74"/>
      <x:c r="J27" s="74"/>
      <x:c r="K27" s="74"/>
      <x:c r="L27" s="74"/>
      <x:c r="M27" s="74"/>
      <x:c r="N27" s="74"/>
    </x:row>
    <x:row r="28">
      <x:c r="A28" s="72" t="str">
        <x:v>Adjusted low-severity rate</x:v>
      </x:c>
      <x:c r="B28" s="141" t="n">
        <x:f>LowSevRate+LowSevRateAdj</x:f>
        <x:v>0</x:v>
      </x:c>
      <x:c r="C28" s="72"/>
      <x:c r="D28" s="72"/>
      <x:c r="E28" s="74"/>
      <x:c r="F28" s="74"/>
      <x:c r="G28" s="74"/>
      <x:c r="H28" s="74"/>
      <x:c r="I28" s="74"/>
      <x:c r="J28" s="74"/>
      <x:c r="K28" s="74"/>
      <x:c r="L28" s="74"/>
      <x:c r="M28" s="74"/>
      <x:c r="N28" s="74"/>
    </x:row>
    <x:row r="29">
      <x:c r="A29" s="72" t="str">
        <x:v>Mortality with adjustment / Base</x:v>
      </x:c>
      <x:c r="B29" s="142" t="n">
        <x:f>Density*(AdjustedLowRate*LowAcres+ModSevRate*ModAcres+HighSevRate*HighAcres)</x:f>
        <x:v>1855</x:v>
      </x:c>
      <x:c r="C29" s="142" t="n">
        <x:f>BaseMortality</x:f>
        <x:v>1855</x:v>
      </x:c>
      <x:c r="D29" s="72"/>
      <x:c r="E29" s="74"/>
      <x:c r="F29" s="74"/>
      <x:c r="G29" s="74"/>
      <x:c r="H29" s="74"/>
      <x:c r="I29" s="74"/>
      <x:c r="J29" s="74"/>
      <x:c r="K29" s="74"/>
      <x:c r="L29" s="74"/>
      <x:c r="M29" s="74"/>
      <x:c r="N29" s="74"/>
    </x:row>
    <x:row r="30">
      <x:c r="A30" s="74"/>
      <x:c r="B30" s="74"/>
      <x:c r="C30" s="74"/>
      <x:c r="D30" s="74"/>
      <x:c r="E30" s="74"/>
      <x:c r="F30" s="74"/>
      <x:c r="G30" s="74"/>
      <x:c r="H30" s="74"/>
      <x:c r="I30" s="74"/>
      <x:c r="J30" s="74"/>
      <x:c r="K30" s="74"/>
      <x:c r="L30" s="74"/>
      <x:c r="M30" s="74"/>
      <x:c r="N30" s="74"/>
    </x:row>
    <x:row r="31">
      <x:c r="A31" s="76" t="str">
        <x:v>D. Selected-fire KPIs</x:v>
      </x:c>
      <x:c r="B31" s="74"/>
      <x:c r="C31" s="74"/>
      <x:c r="D31" s="74"/>
      <x:c r="E31" s="74"/>
      <x:c r="F31" s="74"/>
      <x:c r="G31" s="74"/>
      <x:c r="H31" s="74"/>
      <x:c r="I31" s="74"/>
      <x:c r="J31" s="74"/>
      <x:c r="K31" s="74"/>
      <x:c r="L31" s="74"/>
      <x:c r="M31" s="74"/>
      <x:c r="N31" s="74"/>
    </x:row>
    <x:row r="32">
      <x:c r="A32" s="134" t="str">
        <x:v>High-severity share</x:v>
      </x:c>
      <x:c r="B32" s="135" t="n">
        <x:f>HighAcres/TotalAcres</x:f>
        <x:v>0.14083219021490626</x:v>
      </x:c>
      <x:c r="C32" s="74"/>
      <x:c r="D32" s="74"/>
      <x:c r="E32" s="74"/>
      <x:c r="F32" s="74"/>
      <x:c r="G32" s="74"/>
      <x:c r="H32" s="74"/>
      <x:c r="I32" s="74"/>
      <x:c r="J32" s="74"/>
      <x:c r="K32" s="74"/>
      <x:c r="L32" s="74"/>
      <x:c r="M32" s="74"/>
      <x:c r="N32" s="74"/>
    </x:row>
    <x:row r="33">
      <x:c r="A33" s="134" t="str">
        <x:v>Trees per burned acre</x:v>
      </x:c>
      <x:c r="B33" s="136" t="n">
        <x:f>BaseMortality/TotalAcres</x:f>
        <x:v>0.4240969364426155</x:v>
      </x:c>
      <x:c r="C33" s="74"/>
      <x:c r="D33" s="74"/>
      <x:c r="E33" s="74"/>
      <x:c r="F33" s="74"/>
      <x:c r="G33" s="74"/>
      <x:c r="H33" s="74"/>
      <x:c r="I33" s="74"/>
      <x:c r="J33" s="74"/>
      <x:c r="K33" s="74"/>
      <x:c r="L33" s="74"/>
      <x:c r="M33" s="74"/>
      <x:c r="N33" s="74"/>
    </x:row>
    <x:row r="34">
      <x:c r="A34" s="134" t="str">
        <x:v>Trees per high-severity acre</x:v>
      </x:c>
      <x:c r="B34" s="136" t="n">
        <x:f>BaseMortality/HighAcres</x:f>
        <x:v>3.0113636363636362</x:v>
      </x:c>
      <x:c r="C34" s="74"/>
      <x:c r="D34" s="74"/>
      <x:c r="E34" s="74"/>
      <x:c r="F34" s="74"/>
      <x:c r="G34" s="74"/>
      <x:c r="H34" s="74"/>
      <x:c r="I34" s="74"/>
      <x:c r="J34" s="74"/>
      <x:c r="K34" s="74"/>
      <x:c r="L34" s="74"/>
      <x:c r="M34" s="74"/>
      <x:c r="N34" s="74"/>
    </x:row>
  </x:sheetData>
  <x:mergeCells>
    <x:mergeCell ref="A11:G11"/>
    <x:mergeCell ref="H12:N12"/>
  </x:mergeCells>
  <x:conditionalFormatting sqref="L5:L7">
    <x:cfRule type="expression" dxfId="0" priority="1">
      <x:formula>L5=FALSE</x:formula>
    </x:cfRule>
  </x:conditionalFormatting>
  <x:conditionalFormatting sqref="I9:I10">
    <x:cfRule type="expression" dxfId="1" priority="2">
      <x:formula>I9=FALSE</x:formula>
    </x:cfRule>
  </x:conditionalFormatting>
  <x:dataValidations count="2">
    <x:dataValidation type="list" sqref="B14">
      <x:formula1>FireNames</x:formula1>
    </x:dataValidation>
    <x:dataValidation type="decimal" operator="between" sqref="B27">
      <x:formula1>0</x:formula1>
      <x:formula2>0.1</x:formula2>
    </x:dataValidation>
  </x:dataValidations>
  <x:pageMargins left="0.7" right="0.7" top="0.75" bottom="0.75" header="0.3" footer="0.3"/>
  <x:legacyDrawing xmlns:r="http://schemas.openxmlformats.org/officeDocument/2006/relationships" r:id="R2696bcdf219e405e"/>
</x:worksheet>
</file>

<file path=xl/worksheets/sheet4.xml><?xml version="1.0" encoding="utf-8"?>
<x:worksheet xmlns:x="http://schemas.openxmlformats.org/spreadsheetml/2006/main">
  <x:sheetViews>
    <x:sheetView showGridLines="0" workbookViewId="0"/>
  </x:sheetViews>
  <x:sheetFormatPr baseColWidth="10" defaultColWidth="8.6640625" defaultRowHeight="15"/>
  <x:cols>
    <x:col min="1" max="1" width="24" hidden="0" customWidth="1"/>
    <x:col min="2" max="4" width="16" customWidth="1"/>
    <x:col min="2" max="2" width="14" hidden="0" customWidth="1"/>
    <x:col min="3" max="3" width="20" hidden="0" customWidth="1"/>
    <x:col min="4" max="4" width="14" hidden="0" customWidth="1"/>
    <x:col min="5" max="5" width="14" hidden="0" customWidth="1"/>
    <x:col min="6" max="6" width="14" hidden="0" customWidth="1"/>
    <x:col min="7" max="7" width="3" hidden="0" customWidth="1"/>
    <x:col min="8" max="8" width="26" hidden="0" customWidth="1"/>
    <x:col min="9" max="9" width="16"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0">
      <x:c r="A1" s="66" t="str">
        <x:v>Giant Sequoia Fire Mortality — Dashboard</x:v>
      </x:c>
      <x:c r="B1" s="74"/>
      <x:c r="C1" s="74"/>
      <x:c r="D1" s="74"/>
      <x:c r="E1" s="74"/>
      <x:c r="F1" s="74"/>
      <x:c r="G1" s="74"/>
      <x:c r="H1" s="65" t="str">
        <x:v>Version</x:v>
      </x:c>
      <x:c r="I1" s="65" t="str">
        <x:v>v1.0 – 2026-10-17</x:v>
      </x:c>
      <x:c r="J1" s="74"/>
      <x:c r="K1" s="74"/>
      <x:c r="L1" s="74"/>
      <x:c r="M1" s="74"/>
      <x:c r="N1" s="74"/>
    </x:row>
    <x:row r="2">
      <x:c r="A2" s="74"/>
      <x:c r="B2" s="74"/>
      <x:c r="C2" s="74"/>
      <x:c r="D2" s="74"/>
      <x:c r="E2" s="74"/>
      <x:c r="F2" s="74"/>
      <x:c r="G2" s="74"/>
      <x:c r="H2" s="74"/>
      <x:c r="I2" s="74"/>
      <x:c r="J2" s="74"/>
      <x:c r="K2" s="74"/>
      <x:c r="L2" s="74"/>
      <x:c r="M2" s="74"/>
      <x:c r="N2" s="74"/>
    </x:row>
    <x:row r="3" ht="40" customHeight="1">
      <x:c r="A3" s="172" t="str">
        <x:f>"Reported two-year mortality: "&amp;TEXT(OverallLowPct,"0%")&amp;"–"&amp;TEXT(OverallHighPct,"0%")&amp;" of large giant sequoias (2020–2021)."</x:f>
        <x:v>Reported two-year mortality: 13%–19% of large giant sequoias (2020–2021).</x:v>
      </x:c>
      <x:c r="B3" s="189"/>
      <x:c r="C3" s="189"/>
      <x:c r="D3" s="189"/>
      <x:c r="E3" s="74"/>
      <x:c r="F3" s="74"/>
      <x:c r="G3" s="74"/>
      <x:c r="H3" s="39" t="str">
        <x:v>Selected-fire KPIs</x:v>
      </x:c>
      <x:c r="I3" s="39"/>
      <x:c r="J3" s="74"/>
      <x:c r="K3" s="74"/>
      <x:c r="L3" s="74"/>
      <x:c r="M3" s="74"/>
      <x:c r="N3" s="74"/>
    </x:row>
    <x:row r="4" ht="19.5" customHeight="1">
      <x:c r="A4" s="189"/>
      <x:c r="B4" s="189"/>
      <x:c r="C4" s="189"/>
      <x:c r="D4" s="189"/>
      <x:c r="E4" s="74"/>
      <x:c r="F4" s="74"/>
      <x:c r="G4" s="74"/>
      <x:c r="H4" s="134" t="str">
        <x:v>High-severity share</x:v>
      </x:c>
      <x:c r="I4" s="135" t="n">
        <x:f>PctHighSeverity</x:f>
        <x:v>0.14083219021490626</x:v>
      </x:c>
      <x:c r="J4" s="74"/>
      <x:c r="K4" s="74"/>
      <x:c r="L4" s="74"/>
      <x:c r="M4" s="74"/>
      <x:c r="N4" s="74"/>
    </x:row>
    <x:row r="5">
      <x:c r="A5" s="74"/>
      <x:c r="B5" s="74"/>
      <x:c r="C5" s="74"/>
      <x:c r="D5" s="74"/>
      <x:c r="E5" s="74"/>
      <x:c r="F5" s="74"/>
      <x:c r="G5" s="74"/>
      <x:c r="H5" s="134" t="str">
        <x:v>Trees per burned acre</x:v>
      </x:c>
      <x:c r="I5" s="136" t="n">
        <x:f>TreesPerBurnedAcre</x:f>
        <x:v>0.4240969364426155</x:v>
      </x:c>
      <x:c r="J5" s="74"/>
      <x:c r="K5" s="74"/>
      <x:c r="L5" s="74"/>
      <x:c r="M5" s="74"/>
      <x:c r="N5" s="74"/>
    </x:row>
    <x:row r="6">
      <x:c r="A6" s="177" t="str">
        <x:v>Selected fire</x:v>
      </x:c>
      <x:c r="B6" s="166" t="str">
        <x:f>SelectedFire</x:f>
        <x:v>KNP Complex</x:v>
      </x:c>
      <x:c r="C6" s="65" t="str">
        <x:v>Base modeled mortality</x:v>
      </x:c>
      <x:c r="D6" s="178" t="n">
        <x:f>BaseMortality</x:f>
        <x:v>1855</x:v>
      </x:c>
      <x:c r="E6" s="74"/>
      <x:c r="F6" s="74"/>
      <x:c r="G6" s="74"/>
      <x:c r="H6" s="134" t="str">
        <x:v>Trees per high-severity acre</x:v>
      </x:c>
      <x:c r="I6" s="136" t="n">
        <x:f>TreesPerHighAcre</x:f>
        <x:v>3.0113636363636362</x:v>
      </x:c>
      <x:c r="J6" s="74"/>
      <x:c r="K6" s="74"/>
      <x:c r="L6" s="74"/>
      <x:c r="M6" s="74"/>
      <x:c r="N6" s="74"/>
    </x:row>
    <x:row r="7">
      <x:c r="A7" s="74"/>
      <x:c r="B7" s="74"/>
      <x:c r="C7" s="74"/>
      <x:c r="D7" s="74"/>
      <x:c r="E7" s="74"/>
      <x:c r="F7" s="74"/>
      <x:c r="G7" s="74"/>
      <x:c r="H7" s="74"/>
      <x:c r="I7" s="74"/>
      <x:c r="J7" s="74"/>
      <x:c r="K7" s="74"/>
      <x:c r="L7" s="74"/>
      <x:c r="M7" s="74"/>
      <x:c r="N7" s="74"/>
    </x:row>
    <x:row r="8" ht="16">
      <x:c r="A8" s="76" t="str">
        <x:v>Scenario mortality by fire</x:v>
      </x:c>
      <x:c r="B8" s="74"/>
      <x:c r="C8" s="74"/>
      <x:c r="D8" s="74"/>
      <x:c r="E8" s="74"/>
      <x:c r="F8" s="74"/>
      <x:c r="G8" s="74"/>
      <x:c r="H8" s="74"/>
      <x:c r="I8" s="74"/>
      <x:c r="J8" s="74"/>
      <x:c r="K8" s="74"/>
      <x:c r="L8" s="74"/>
      <x:c r="M8" s="74"/>
      <x:c r="N8" s="74"/>
    </x:row>
    <x:row r="9" ht="30">
      <x:c r="A9" s="35" t="str">
        <x:v>Fire</x:v>
      </x:c>
      <x:c r="B9" s="35" t="str">
        <x:v>Low</x:v>
      </x:c>
      <x:c r="C9" s="35" t="str">
        <x:v>Base</x:v>
      </x:c>
      <x:c r="D9" s="35" t="str">
        <x:v>High</x:v>
      </x:c>
      <x:c r="E9" s="35" t="str">
        <x:v>Reported Low</x:v>
      </x:c>
      <x:c r="F9" s="35" t="str">
        <x:v>Reported High</x:v>
      </x:c>
      <x:c r="G9" s="74"/>
      <x:c r="H9" s="74"/>
      <x:c r="I9" s="74"/>
      <x:c r="J9" s="74"/>
      <x:c r="K9" s="74"/>
      <x:c r="L9" s="74"/>
      <x:c r="M9" s="74"/>
      <x:c r="N9" s="74"/>
    </x:row>
    <x:row r="10">
      <x:c r="A10" s="50" t="str">
        <x:v>Castle Fire</x:v>
      </x:c>
      <x:c r="B10" s="115" t="n">
        <x:f>LowDensity_Castle*(LowSevRate*LowAcres_Castle+ModSevRate*ModAcres_Castle+HighSevRate*HighAcres_Castle)</x:f>
        <x:v>7500</x:v>
      </x:c>
      <x:c r="C10" s="115" t="n">
        <x:f>ImpliedDensity_Castle*(LowSevRate*LowAcres_Castle+ModSevRate*ModAcres_Castle+HighSevRate*HighAcres_Castle)</x:f>
        <x:v>9050</x:v>
      </x:c>
      <x:c r="D10" s="115" t="n">
        <x:f>HighDensity_Castle*(HighScenarioLowRate*LowAcres_Castle+HighScenarioModRate*ModAcres_Castle+HighScenarioHighRate*HighAcres_Castle)</x:f>
        <x:v>11652.346087029544</x:v>
      </x:c>
      <x:c r="E10" s="142" t="n">
        <x:f>ReportedLow_Castle</x:f>
        <x:v>7500</x:v>
      </x:c>
      <x:c r="F10" s="142" t="n">
        <x:f>ReportedHigh_Castle</x:f>
        <x:v>10600</x:v>
      </x:c>
      <x:c r="G10" s="74"/>
      <x:c r="H10" s="74"/>
      <x:c r="I10" s="74"/>
      <x:c r="J10" s="74"/>
      <x:c r="K10" s="74"/>
      <x:c r="L10" s="74"/>
      <x:c r="M10" s="74"/>
      <x:c r="N10" s="74"/>
    </x:row>
    <x:row r="11">
      <x:c r="A11" s="50" t="str">
        <x:v>KNP Complex</x:v>
      </x:c>
      <x:c r="B11" s="115" t="n">
        <x:f>LowDensity_KNP*(LowSevRate*LowAcres_KNP+ModSevRate*ModAcres_KNP+HighSevRate*HighAcres_KNP)</x:f>
        <x:v>1330</x:v>
      </x:c>
      <x:c r="C11" s="115" t="n">
        <x:f>ImpliedDensity_KNP*(LowSevRate*LowAcres_KNP+ModSevRate*ModAcres_KNP+HighSevRate*HighAcres_KNP)</x:f>
        <x:v>1855</x:v>
      </x:c>
      <x:c r="D11" s="115" t="n">
        <x:f>HighDensity_KNP*(HighScenarioLowRate*LowAcres_KNP+HighScenarioModRate*ModAcres_KNP+HighScenarioHighRate*HighAcres_KNP)</x:f>
        <x:v>2732.802989103068</x:v>
      </x:c>
      <x:c r="E11" s="142" t="n">
        <x:f>ReportedLow_KNP</x:f>
        <x:v>1330</x:v>
      </x:c>
      <x:c r="F11" s="142" t="n">
        <x:f>ReportedHigh_KNP</x:f>
        <x:v>2380</x:v>
      </x:c>
      <x:c r="G11" s="74"/>
      <x:c r="H11" s="74"/>
      <x:c r="I11" s="74"/>
      <x:c r="J11" s="74"/>
      <x:c r="K11" s="74"/>
      <x:c r="L11" s="74"/>
      <x:c r="M11" s="74"/>
      <x:c r="N11" s="74"/>
    </x:row>
    <x:row r="12">
      <x:c r="A12" s="50" t="str">
        <x:v>Windy Fire</x:v>
      </x:c>
      <x:c r="B12" s="115" t="n">
        <x:f>LowDensity_Windy*(LowSevRate*LowAcres_Windy+ModSevRate*ModAcres_Windy+HighSevRate*HighAcres_Windy)</x:f>
        <x:v>931</x:v>
      </x:c>
      <x:c r="C12" s="115" t="n">
        <x:f>ImpliedDensity_Windy*(LowSevRate*LowAcres_Windy+ModSevRate*ModAcres_Windy+HighSevRate*HighAcres_Windy)</x:f>
        <x:v>1094</x:v>
      </x:c>
      <x:c r="D12" s="115" t="n">
        <x:f>HighDensity_Windy*(HighScenarioLowRate*LowAcres_Windy+HighScenarioModRate*ModAcres_Windy+HighScenarioHighRate*HighAcres_Windy)</x:f>
        <x:v>1389.8076475238302</x:v>
      </x:c>
      <x:c r="E12" s="142" t="n">
        <x:f>ReportedLow_Windy</x:f>
        <x:v>931</x:v>
      </x:c>
      <x:c r="F12" s="142" t="n">
        <x:f>ReportedHigh_Windy</x:f>
        <x:v>1257</x:v>
      </x:c>
      <x:c r="G12" s="74"/>
      <x:c r="H12" s="74"/>
      <x:c r="I12" s="74"/>
      <x:c r="J12" s="74"/>
      <x:c r="K12" s="74"/>
      <x:c r="L12" s="74"/>
      <x:c r="M12" s="74"/>
      <x:c r="N12" s="74"/>
    </x:row>
    <x:row r="13">
      <x:c r="A13" s="74"/>
      <x:c r="B13" s="74"/>
      <x:c r="C13" s="74"/>
      <x:c r="D13" s="74"/>
      <x:c r="E13" s="74"/>
      <x:c r="F13" s="74"/>
      <x:c r="G13" s="74"/>
      <x:c r="H13" s="74"/>
      <x:c r="I13" s="74"/>
      <x:c r="J13" s="74"/>
      <x:c r="K13" s="74"/>
      <x:c r="L13" s="74"/>
      <x:c r="M13" s="74"/>
      <x:c r="N13" s="74"/>
    </x:row>
    <x:row r="14">
      <x:c r="A14" s="76" t="str">
        <x:v>Published uncertainty range (trees)</x:v>
      </x:c>
      <x:c r="B14" s="74"/>
      <x:c r="C14" s="74"/>
      <x:c r="D14" s="74"/>
      <x:c r="E14" s="74"/>
      <x:c r="F14" s="74"/>
      <x:c r="G14" s="74"/>
      <x:c r="H14" s="74"/>
      <x:c r="I14" s="74"/>
      <x:c r="J14" s="74"/>
      <x:c r="K14" s="74"/>
      <x:c r="L14" s="74"/>
      <x:c r="M14" s="74"/>
      <x:c r="N14" s="74"/>
    </x:row>
    <x:row r="15" ht="16">
      <x:c r="A15" s="35" t="str">
        <x:v>Fire</x:v>
      </x:c>
      <x:c r="B15" s="35" t="str">
        <x:v>Reported Low</x:v>
      </x:c>
      <x:c r="C15" s="35" t="str">
        <x:v>Reported High</x:v>
      </x:c>
      <x:c r="D15" s="74"/>
      <x:c r="E15" s="74"/>
      <x:c r="F15" s="74"/>
      <x:c r="G15" s="74"/>
      <x:c r="H15" s="74"/>
      <x:c r="I15" s="74"/>
      <x:c r="J15" s="74"/>
      <x:c r="K15" s="74"/>
      <x:c r="L15" s="74"/>
      <x:c r="M15" s="74"/>
      <x:c r="N15" s="74"/>
    </x:row>
    <x:row r="16" ht="30">
      <x:c r="A16" s="187" t="str">
        <x:f>A10</x:f>
        <x:v>Castle Fire</x:v>
      </x:c>
      <x:c r="B16" s="188" t="n">
        <x:f>E10</x:f>
        <x:v>7500</x:v>
      </x:c>
      <x:c r="C16" s="186" t="n">
        <x:f>F10</x:f>
        <x:v>10600</x:v>
      </x:c>
      <x:c r="D16" s="74"/>
      <x:c r="E16" s="74"/>
      <x:c r="F16" s="74"/>
      <x:c r="G16" s="74"/>
      <x:c r="H16" s="74"/>
      <x:c r="I16" s="74"/>
      <x:c r="J16" s="74"/>
      <x:c r="K16" s="74"/>
      <x:c r="L16" s="74"/>
      <x:c r="M16" s="74"/>
      <x:c r="N16" s="74"/>
    </x:row>
    <x:row r="17">
      <x:c r="A17" s="156" t="str">
        <x:f>A11</x:f>
        <x:v>KNP Complex</x:v>
      </x:c>
      <x:c r="B17" s="186" t="n">
        <x:f>E11</x:f>
        <x:v>1330</x:v>
      </x:c>
      <x:c r="C17" s="186" t="n">
        <x:f>F11</x:f>
        <x:v>2380</x:v>
      </x:c>
      <x:c r="D17" s="74"/>
      <x:c r="E17" s="74"/>
      <x:c r="F17" s="74"/>
      <x:c r="G17" s="74"/>
      <x:c r="H17" s="74"/>
      <x:c r="I17" s="74"/>
      <x:c r="J17" s="74"/>
      <x:c r="K17" s="74"/>
      <x:c r="L17" s="74"/>
      <x:c r="M17" s="74"/>
      <x:c r="N17" s="74"/>
    </x:row>
    <x:row r="18">
      <x:c r="A18" s="156" t="str">
        <x:f>A12</x:f>
        <x:v>Windy Fire</x:v>
      </x:c>
      <x:c r="B18" s="186" t="n">
        <x:f>E12</x:f>
        <x:v>931</x:v>
      </x:c>
      <x:c r="C18" s="186" t="n">
        <x:f>F12</x:f>
        <x:v>1257</x:v>
      </x:c>
      <x:c r="D18" s="74"/>
      <x:c r="E18" s="74"/>
      <x:c r="F18" s="74"/>
      <x:c r="G18" s="74"/>
      <x:c r="H18" s="74"/>
      <x:c r="I18" s="74"/>
      <x:c r="J18" s="74"/>
      <x:c r="K18" s="74"/>
      <x:c r="L18" s="74"/>
      <x:c r="M18" s="74"/>
      <x:c r="N18" s="74"/>
    </x:row>
    <x:row r="19">
      <x:c r="A19" s="50"/>
      <x:c r="B19" s="105"/>
      <x:c r="C19" s="74"/>
      <x:c r="D19" s="74"/>
      <x:c r="E19" s="74"/>
      <x:c r="F19" s="74"/>
      <x:c r="G19" s="74"/>
      <x:c r="H19" s="74"/>
      <x:c r="I19" s="74"/>
      <x:c r="J19" s="74"/>
      <x:c r="K19" s="74"/>
      <x:c r="L19" s="74"/>
      <x:c r="M19" s="74"/>
      <x:c r="N19" s="74"/>
    </x:row>
    <x:row r="20" ht="34" customHeight="1">
      <x:c r="A20" s="32" t="str">
        <x:v>Uncertainty note: reported low/high ranges are shown beside the scenario chart. The Excel-native chart created here uses grouped scenario bars; the worksheet retains the formula-driven low/high range table for auditability.</x:v>
      </x:c>
      <x:c r="B20" s="74"/>
      <x:c r="C20" s="74"/>
      <x:c r="D20" s="74"/>
      <x:c r="E20" s="74"/>
      <x:c r="F20" s="74"/>
      <x:c r="G20" s="74"/>
      <x:c r="H20" s="74"/>
      <x:c r="I20" s="74"/>
      <x:c r="J20" s="74"/>
      <x:c r="K20" s="74"/>
      <x:c r="L20" s="74"/>
      <x:c r="M20" s="74"/>
      <x:c r="N20" s="74"/>
    </x:row>
    <x:row r="21">
      <x:c r="A21" s="74"/>
      <x:c r="B21" s="74"/>
      <x:c r="C21" s="74"/>
      <x:c r="D21" s="74"/>
      <x:c r="E21" s="74"/>
      <x:c r="F21" s="74"/>
      <x:c r="G21" s="74"/>
      <x:c r="H21" s="74"/>
      <x:c r="I21" s="74"/>
      <x:c r="J21" s="74"/>
      <x:c r="K21" s="74"/>
      <x:c r="L21" s="74"/>
      <x:c r="M21" s="74"/>
      <x:c r="N21" s="74"/>
    </x:row>
    <x:row r="22">
      <x:c r="A22" s="74"/>
      <x:c r="B22" s="74"/>
      <x:c r="C22" s="74"/>
      <x:c r="D22" s="74"/>
      <x:c r="E22" s="74"/>
      <x:c r="F22" s="74"/>
      <x:c r="G22" s="74"/>
      <x:c r="H22" s="74"/>
      <x:c r="I22" s="74"/>
      <x:c r="J22" s="74"/>
      <x:c r="K22" s="74"/>
      <x:c r="L22" s="74"/>
      <x:c r="M22" s="74"/>
      <x:c r="N22" s="74"/>
    </x:row>
    <x:row r="23">
      <x:c r="A23" s="74"/>
      <x:c r="B23" s="74"/>
      <x:c r="C23" s="74"/>
      <x:c r="D23" s="74"/>
      <x:c r="E23" s="74"/>
      <x:c r="F23" s="74"/>
      <x:c r="G23" s="74"/>
      <x:c r="H23" s="74"/>
      <x:c r="I23" s="74"/>
      <x:c r="J23" s="74"/>
      <x:c r="K23" s="74"/>
      <x:c r="L23" s="74"/>
      <x:c r="M23" s="74"/>
      <x:c r="N23" s="74"/>
    </x:row>
    <x:row r="24">
      <x:c r="A24" s="74"/>
      <x:c r="B24" s="74"/>
      <x:c r="C24" s="74"/>
      <x:c r="D24" s="74"/>
      <x:c r="E24" s="74"/>
      <x:c r="F24" s="74"/>
      <x:c r="G24" s="74"/>
      <x:c r="H24" s="74"/>
      <x:c r="I24" s="74"/>
      <x:c r="J24" s="74"/>
      <x:c r="K24" s="74"/>
      <x:c r="L24" s="74"/>
      <x:c r="M24" s="74"/>
      <x:c r="N24" s="74"/>
    </x:row>
    <x:row r="25">
      <x:c r="A25" s="74"/>
      <x:c r="B25" s="74"/>
      <x:c r="C25" s="74"/>
      <x:c r="D25" s="74"/>
      <x:c r="E25" s="74"/>
      <x:c r="F25" s="74"/>
      <x:c r="G25" s="74"/>
      <x:c r="H25" s="74"/>
      <x:c r="I25" s="74"/>
      <x:c r="J25" s="74"/>
      <x:c r="K25" s="74"/>
      <x:c r="L25" s="74"/>
      <x:c r="M25" s="74"/>
      <x:c r="N25" s="74"/>
    </x:row>
    <x:row r="26">
      <x:c r="A26" s="74"/>
      <x:c r="B26" s="74"/>
      <x:c r="C26" s="74"/>
      <x:c r="D26" s="74"/>
      <x:c r="E26" s="74"/>
      <x:c r="F26" s="74"/>
      <x:c r="G26" s="74"/>
      <x:c r="H26" s="74"/>
      <x:c r="I26" s="74"/>
      <x:c r="J26" s="74"/>
      <x:c r="K26" s="74"/>
      <x:c r="L26" s="74"/>
      <x:c r="M26" s="74"/>
      <x:c r="N26" s="74"/>
    </x:row>
    <x:row r="27">
      <x:c r="A27" s="74"/>
      <x:c r="B27" s="74"/>
      <x:c r="C27" s="74"/>
      <x:c r="D27" s="74"/>
      <x:c r="E27" s="74"/>
      <x:c r="F27" s="74"/>
      <x:c r="G27" s="74"/>
      <x:c r="H27" s="74"/>
      <x:c r="I27" s="74"/>
      <x:c r="J27" s="74"/>
      <x:c r="K27" s="74"/>
      <x:c r="L27" s="74"/>
      <x:c r="M27" s="74"/>
      <x:c r="N27" s="74"/>
    </x:row>
    <x:row r="28">
      <x:c r="A28" s="74"/>
      <x:c r="B28" s="74"/>
      <x:c r="C28" s="74"/>
      <x:c r="D28" s="74"/>
      <x:c r="E28" s="74"/>
      <x:c r="F28" s="74"/>
      <x:c r="G28" s="74"/>
      <x:c r="H28" s="74"/>
      <x:c r="I28" s="74"/>
      <x:c r="J28" s="74"/>
      <x:c r="K28" s="74"/>
      <x:c r="L28" s="74"/>
      <x:c r="M28" s="74"/>
      <x:c r="N28" s="74"/>
    </x:row>
    <x:row r="29">
      <x:c r="A29" s="74"/>
      <x:c r="B29" s="74"/>
      <x:c r="C29" s="74"/>
      <x:c r="D29" s="74"/>
      <x:c r="E29" s="74"/>
      <x:c r="F29" s="74"/>
      <x:c r="G29" s="74"/>
      <x:c r="H29" s="74"/>
      <x:c r="I29" s="74"/>
      <x:c r="J29" s="74"/>
      <x:c r="K29" s="74"/>
      <x:c r="L29" s="74"/>
      <x:c r="M29" s="74"/>
      <x:c r="N29" s="74"/>
    </x:row>
    <x:row r="30">
      <x:c r="A30" s="74"/>
      <x:c r="B30" s="74"/>
      <x:c r="C30" s="74"/>
      <x:c r="D30" s="74"/>
      <x:c r="E30" s="74"/>
      <x:c r="F30" s="74"/>
      <x:c r="G30" s="74"/>
      <x:c r="H30" s="74"/>
      <x:c r="I30" s="74"/>
      <x:c r="J30" s="74"/>
      <x:c r="K30" s="74"/>
      <x:c r="L30" s="74"/>
      <x:c r="M30" s="74"/>
      <x:c r="N30" s="74"/>
    </x:row>
  </x:sheetData>
  <x:mergeCells>
    <x:mergeCell ref="A3:D4"/>
    <x:mergeCell ref="A3:F4"/>
    <x:mergeCell ref="A20:F21"/>
  </x:mergeCells>
  <x:pageMargins left="0.7" right="0.7" top="0.75" bottom="0.75" header="0.3" footer="0.3"/>
  <x:drawing xmlns:r="http://schemas.openxmlformats.org/officeDocument/2006/relationships" r:id="R0e380dc885a94ff1"/>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4" hidden="0" customWidth="1"/>
    <x:col min="3" max="3" width="55" hidden="0" customWidth="1"/>
    <x:col min="4" max="4" width="16" hidden="0" customWidth="1"/>
  </x:cols>
  <x:sheetData>
    <x:row r="1">
      <x:c r="A1" s="66" t="str">
        <x:v>Assumptions</x:v>
      </x:c>
      <x:c r="B1" s="74"/>
      <x:c r="C1" s="74"/>
      <x:c r="D1" s="74"/>
    </x:row>
    <x:row r="2">
      <x:c r="A2" s="164" t="str">
        <x:v>Rates, densities, and published population-share inputs used in the mortality model.</x:v>
      </x:c>
      <x:c r="B2" s="74"/>
      <x:c r="C2" s="74"/>
      <x:c r="D2" s="74"/>
    </x:row>
    <x:row r="3">
      <x:c r="A3" s="74"/>
      <x:c r="B3" s="74"/>
      <x:c r="C3" s="74"/>
      <x:c r="D3" s="74"/>
    </x:row>
    <x:row r="4" ht="28" customHeight="1">
      <x:c r="A4" s="35" t="str">
        <x:v>Assumption</x:v>
      </x:c>
      <x:c r="B4" s="35" t="str">
        <x:v>Value</x:v>
      </x:c>
      <x:c r="C4" s="35" t="str">
        <x:v>Source</x:v>
      </x:c>
      <x:c r="D4" s="35" t="str">
        <x:v>Confidence</x:v>
      </x:c>
    </x:row>
    <x:row r="5" ht="24" customHeight="1">
      <x:c r="A5" s="148" t="str">
        <x:v>Default high-severity mortality rate</x:v>
      </x:c>
      <x:c r="B5" s="167" t="n">
        <x:v>0.95</x:v>
      </x:c>
      <x:c r="C5" s="148" t="str">
        <x:v>Miller et al. (2009), cited in NPS (2021)</x:v>
      </x:c>
      <x:c r="D5" s="148" t="str">
        <x:v>Moderate</x:v>
      </x:c>
    </x:row>
    <x:row r="6" ht="24" customHeight="1">
      <x:c r="A6" s="148" t="str">
        <x:v>Default moderate-severity mortality rate</x:v>
      </x:c>
      <x:c r="B6" s="167" t="n">
        <x:v>0.551</x:v>
      </x:c>
      <x:c r="C6" s="148" t="str">
        <x:v>Stephenson &amp; Brigham (2021), Castle Fire analysis</x:v>
      </x:c>
      <x:c r="D6" s="148" t="str">
        <x:v>Moderate</x:v>
      </x:c>
    </x:row>
    <x:row r="7" ht="24" customHeight="1">
      <x:c r="A7" s="148" t="str">
        <x:v>Default low-severity mortality rate</x:v>
      </x:c>
      <x:c r="B7" s="167" t="n">
        <x:v>0</x:v>
      </x:c>
      <x:c r="C7" s="148" t="str">
        <x:v>No documented rate in original sources</x:v>
      </x:c>
      <x:c r="D7" s="148" t="str">
        <x:v>Low</x:v>
      </x:c>
    </x:row>
    <x:row r="8" ht="24" customHeight="1">
      <x:c r="A8" s="148" t="str">
        <x:v>High-scenario low-severity rate</x:v>
      </x:c>
      <x:c r="B8" s="167" t="n">
        <x:v>0.05</x:v>
      </x:c>
      <x:c r="C8" s="148" t="str">
        <x:v>User-requested sensitivity bound; not a published mortality estimate</x:v>
      </x:c>
      <x:c r="D8" s="148" t="str">
        <x:v>Sensitivity only</x:v>
      </x:c>
    </x:row>
    <x:row r="9" ht="24" customHeight="1">
      <x:c r="A9" s="148" t="str">
        <x:v>High-scenario moderate-severity rate</x:v>
      </x:c>
      <x:c r="B9" s="167" t="n">
        <x:v>0.6</x:v>
      </x:c>
      <x:c r="C9" s="148" t="str">
        <x:v>User-requested sensitivity bound; not a published mortality estimate</x:v>
      </x:c>
      <x:c r="D9" s="148" t="str">
        <x:v>Sensitivity only</x:v>
      </x:c>
    </x:row>
    <x:row r="10" ht="24" customHeight="1">
      <x:c r="A10" s="148" t="str">
        <x:v>High-scenario high-severity rate</x:v>
      </x:c>
      <x:c r="B10" s="167" t="n">
        <x:v>0.98</x:v>
      </x:c>
      <x:c r="C10" s="148" t="str">
        <x:v>User-requested sensitivity bound; not a published mortality estimate</x:v>
      </x:c>
      <x:c r="D10" s="148" t="str">
        <x:v>Sensitivity only</x:v>
      </x:c>
    </x:row>
    <x:row r="11" ht="24" customHeight="1">
      <x:c r="A11" s="148" t="str">
        <x:v>Selected-fire lower implied density</x:v>
      </x:c>
      <x:c r="B11" s="168" t="n">
        <x:f>LowDensity</x:f>
        <x:v>1.3394565633371605</x:v>
      </x:c>
      <x:c r="C11" s="148" t="str">
        <x:v>Reported lower mortality estimate ÷ severity-weighted acres</x:v>
      </x:c>
      <x:c r="D11" s="148" t="str">
        <x:v>Reported range</x:v>
      </x:c>
    </x:row>
    <x:row r="12" ht="24" customHeight="1">
      <x:c r="A12" s="148" t="str">
        <x:v>Selected-fire base implied density</x:v>
      </x:c>
      <x:c r="B12" s="168" t="n">
        <x:f>Density</x:f>
        <x:v>1.8681894172860396</x:v>
      </x:c>
      <x:c r="C12" s="148" t="str">
        <x:v>Reported midpoint ÷ severity-weighted acres</x:v>
      </x:c>
      <x:c r="D12" s="148" t="str">
        <x:v>Reported range</x:v>
      </x:c>
    </x:row>
    <x:row r="13" ht="24" customHeight="1">
      <x:c r="A13" s="148" t="str">
        <x:v>Selected-fire upper implied density</x:v>
      </x:c>
      <x:c r="B13" s="168" t="n">
        <x:f>HighDensity</x:f>
        <x:v>2.3969222712349185</x:v>
      </x:c>
      <x:c r="C13" s="148" t="str">
        <x:v>Reported upper mortality estimate ÷ severity-weighted acres</x:v>
      </x:c>
      <x:c r="D13" s="148" t="str">
        <x:v>Reported range</x:v>
      </x:c>
    </x:row>
    <x:row r="14" ht="24" customHeight="1">
      <x:c r="A14" s="148" t="str">
        <x:v>Low-severity rate adjustment</x:v>
      </x:c>
      <x:c r="B14" s="149" t="n">
        <x:f>LowSevRateAdj</x:f>
        <x:v>0</x:v>
      </x:c>
      <x:c r="C14" s="148" t="str">
        <x:v>Dashboard sensitivity input</x:v>
      </x:c>
      <x:c r="D14" s="148" t="str">
        <x:v>User input</x:v>
      </x:c>
    </x:row>
    <x:row r="15" ht="24" customHeight="1">
      <x:c r="A15" s="148" t="str">
        <x:v>2020–2021 population share lower bound</x:v>
      </x:c>
      <x:c r="B15" s="149" t="n">
        <x:f>OverallLowPct</x:f>
        <x:v>0.13</x:v>
      </x:c>
      <x:c r="C15" s="148" t="str">
        <x:v>NPS press release, Nov. 19, 2021</x:v>
      </x:c>
      <x:c r="D15" s="148" t="str">
        <x:v>Reported</x:v>
      </x:c>
    </x:row>
    <x:row r="16" ht="24" customHeight="1">
      <x:c r="A16" s="148" t="str">
        <x:v>2020–2021 population share upper bound</x:v>
      </x:c>
      <x:c r="B16" s="149" t="n">
        <x:f>OverallHighPct</x:f>
        <x:v>0.19</x:v>
      </x:c>
      <x:c r="C16" s="148" t="str">
        <x:v>NPS press release, Nov. 19, 2021</x:v>
      </x:c>
      <x:c r="D16" s="148" t="str">
        <x:v>Reported</x:v>
      </x:c>
    </x:row>
    <x:row r="17" ht="24" customHeight="1">
      <x:c r="A17" s="148" t="str">
        <x:v>Grove severity percentages</x:v>
      </x:c>
      <x:c r="B17" s="149" t="n">
        <x:f>SUM(HighSevPctByFire)/ROWS(HighSevPctByFire)</x:f>
        <x:v>0.2241892076979155</x:v>
      </x:c>
      <x:c r="C17" s="148" t="str">
        <x:v>Calculated from reported/derived acreage ÷ total acres</x:v>
      </x:c>
      <x:c r="D17" s="148" t="str">
        <x:v>Calculated</x:v>
      </x:c>
    </x:row>
  </x:sheetData>
  <x:dataValidations count="1">
    <x:dataValidation type="decimal" operator="between" sqref="B5:B10">
      <x:formula1>0</x:formula1>
      <x:formula2>1</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05" hidden="0" customWidth="1"/>
  </x:cols>
  <x:sheetData>
    <x:row r="1">
      <x:c r="A1" s="66" t="str">
        <x:v>Change Log</x:v>
      </x:c>
      <x:c r="B1" s="74"/>
    </x:row>
    <x:row r="2">
      <x:c r="A2" s="74"/>
      <x:c r="B2" s="74"/>
    </x:row>
    <x:row r="3">
      <x:c r="A3" s="35" t="str">
        <x:v>Date</x:v>
      </x:c>
      <x:c r="B3" s="35" t="str">
        <x:v>Change description</x:v>
      </x:c>
    </x:row>
    <x:row r="4" ht="38" customHeight="1">
      <x:c r="A4" s="72" t="str">
        <x:v>2026-10-17</x:v>
      </x:c>
      <x:c r="B4" s="148" t="str">
        <x:v>v1.0 — Refactored for calibrated estimator, validation checks, sensitivity analysis, typed percentage fields, and a compact dashboard.</x:v>
      </x:c>
    </x:row>
  </x:sheetData>
  <x:pageMargins left="0.7" right="0.7" top="0.75" bottom="0.75" header="0.3" footer="0.3"/>
</x:worksheet>
</file>